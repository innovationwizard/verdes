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/>
  <mc:AlternateContent xmlns:mc="http://schemas.openxmlformats.org/markup-compatibility/2006">
    <mc:Choice Requires="x15">
      <x15ac:absPath xmlns:x15ac="http://schemas.microsoft.com/office/spreadsheetml/2010/11/ac" url="/Users/User/Desktop/Precios Cardamomo 2024/46k/Cuadros Finales/"/>
    </mc:Choice>
  </mc:AlternateContent>
  <xr:revisionPtr revIDLastSave="0" documentId="13_ncr:1_{0EF34484-682D-1D48-8060-978F8D734318}" xr6:coauthVersionLast="47" xr6:coauthVersionMax="47" xr10:uidLastSave="{00000000-0000-0000-0000-000000000000}"/>
  <bookViews>
    <workbookView xWindow="-28680" yWindow="500" windowWidth="27420" windowHeight="17440" activeTab="2" xr2:uid="{00000000-000D-0000-FFFF-FFFF00000000}"/>
  </bookViews>
  <sheets>
    <sheet name="BASE_EXPORTACION" sheetId="20" r:id="rId1"/>
    <sheet name="46k" sheetId="21" r:id="rId2"/>
    <sheet name="Verdes" sheetId="22" r:id="rId3"/>
    <sheet name="Anexo1_Gtos_Compra" sheetId="14" r:id="rId4"/>
    <sheet name="Anexo2_maquila" sheetId="15" r:id="rId5"/>
    <sheet name="Anexo3_Cont_20" sheetId="16" r:id="rId6"/>
    <sheet name="Anexo4_Cont_40" sheetId="17" r:id="rId7"/>
    <sheet name="Anexo5_Gtos_variables" sheetId="18" r:id="rId8"/>
    <sheet name="Anexo6_Gastos Fijos" sheetId="12" r:id="rId9"/>
  </sheets>
  <definedNames>
    <definedName name="k_2023" localSheetId="1">'46k'!$H$5</definedName>
    <definedName name="k_2023">BASE_EXPORTACION!$H$5</definedName>
    <definedName name="kilos_2023" localSheetId="1">'46k'!$H$5</definedName>
    <definedName name="kilos_2023" localSheetId="0">BASE_EXPORTACION!$H$5</definedName>
    <definedName name="kilos_2023" localSheetId="2">Verdes!$H$5</definedName>
    <definedName name="quintales_2023" localSheetId="1">'46k'!$C$5</definedName>
    <definedName name="quintales_2023" localSheetId="0">BASE_EXPORTACION!$C$5</definedName>
    <definedName name="quintales_2023" localSheetId="2">Verdes!$C$5</definedName>
    <definedName name="TC_2023" localSheetId="1">'46k'!$F$5</definedName>
    <definedName name="TC_2023" localSheetId="0">BASE_EXPORTACION!$F$5</definedName>
    <definedName name="TC_2023" localSheetId="2">Verdes!$F$5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6" l="1"/>
  <c r="C17" i="16"/>
  <c r="C14" i="16"/>
  <c r="F1" i="22"/>
  <c r="I1" i="22" s="1"/>
  <c r="H5" i="22"/>
  <c r="G47" i="22" s="1"/>
  <c r="F20" i="22"/>
  <c r="F14" i="22"/>
  <c r="J43" i="22"/>
  <c r="R38" i="22"/>
  <c r="S29" i="22" s="1"/>
  <c r="T29" i="22" s="1"/>
  <c r="S37" i="22"/>
  <c r="T37" i="22" s="1"/>
  <c r="T36" i="22"/>
  <c r="S35" i="22"/>
  <c r="T35" i="22" s="1"/>
  <c r="S33" i="22"/>
  <c r="T33" i="22" s="1"/>
  <c r="S32" i="22"/>
  <c r="T32" i="22" s="1"/>
  <c r="G32" i="22"/>
  <c r="G31" i="22"/>
  <c r="S30" i="22"/>
  <c r="T30" i="22" s="1"/>
  <c r="G30" i="22"/>
  <c r="G29" i="22"/>
  <c r="S28" i="22"/>
  <c r="T28" i="22" s="1"/>
  <c r="J28" i="22"/>
  <c r="G28" i="22"/>
  <c r="T21" i="22"/>
  <c r="R21" i="22"/>
  <c r="P21" i="22"/>
  <c r="T20" i="22"/>
  <c r="R20" i="22"/>
  <c r="P20" i="22"/>
  <c r="T19" i="22"/>
  <c r="R19" i="22"/>
  <c r="P19" i="22"/>
  <c r="M19" i="22"/>
  <c r="L19" i="22"/>
  <c r="K19" i="22"/>
  <c r="W19" i="22"/>
  <c r="T18" i="22"/>
  <c r="R18" i="22"/>
  <c r="P18" i="22"/>
  <c r="M18" i="22"/>
  <c r="B18" i="22"/>
  <c r="T17" i="22"/>
  <c r="R17" i="22"/>
  <c r="P17" i="22"/>
  <c r="M17" i="22"/>
  <c r="W17" i="22"/>
  <c r="T16" i="22"/>
  <c r="R16" i="22"/>
  <c r="P16" i="22"/>
  <c r="M16" i="22"/>
  <c r="L16" i="22"/>
  <c r="K16" i="22"/>
  <c r="H16" i="22"/>
  <c r="I16" i="22" s="1"/>
  <c r="W16" i="22"/>
  <c r="B16" i="22"/>
  <c r="T15" i="22"/>
  <c r="R15" i="22"/>
  <c r="P15" i="22"/>
  <c r="M15" i="22"/>
  <c r="L15" i="22"/>
  <c r="T14" i="22"/>
  <c r="R14" i="22"/>
  <c r="P14" i="22"/>
  <c r="W13" i="22"/>
  <c r="T13" i="22"/>
  <c r="R13" i="22"/>
  <c r="P13" i="22"/>
  <c r="K13" i="22"/>
  <c r="B13" i="22"/>
  <c r="T12" i="22"/>
  <c r="R12" i="22"/>
  <c r="P12" i="22"/>
  <c r="L12" i="22"/>
  <c r="C12" i="22"/>
  <c r="T11" i="22"/>
  <c r="R11" i="22"/>
  <c r="P11" i="22"/>
  <c r="W10" i="22"/>
  <c r="T10" i="22"/>
  <c r="R10" i="22"/>
  <c r="P10" i="22"/>
  <c r="L10" i="22"/>
  <c r="T9" i="22"/>
  <c r="R9" i="22"/>
  <c r="P9" i="22"/>
  <c r="M9" i="22"/>
  <c r="K9" i="22"/>
  <c r="B9" i="22"/>
  <c r="W8" i="22"/>
  <c r="M8" i="22"/>
  <c r="B8" i="22"/>
  <c r="C8" i="22"/>
  <c r="C21" i="22" s="1"/>
  <c r="N5" i="22"/>
  <c r="M5" i="22"/>
  <c r="E5" i="22"/>
  <c r="J23" i="22" s="1"/>
  <c r="H12" i="21"/>
  <c r="H13" i="21"/>
  <c r="H15" i="21"/>
  <c r="H16" i="21"/>
  <c r="H17" i="21"/>
  <c r="H18" i="21"/>
  <c r="H19" i="21"/>
  <c r="D16" i="17"/>
  <c r="E11" i="14"/>
  <c r="E10" i="14"/>
  <c r="E9" i="14"/>
  <c r="C9" i="14" s="1"/>
  <c r="D9" i="14" s="1"/>
  <c r="E8" i="14"/>
  <c r="C8" i="14" s="1"/>
  <c r="D8" i="14" s="1"/>
  <c r="E7" i="14"/>
  <c r="E6" i="14"/>
  <c r="E5" i="14"/>
  <c r="C5" i="14" s="1"/>
  <c r="D5" i="14" s="1"/>
  <c r="E4" i="14"/>
  <c r="C4" i="14" s="1"/>
  <c r="D4" i="14" s="1"/>
  <c r="E4" i="15"/>
  <c r="C4" i="15" s="1"/>
  <c r="C6" i="15" s="1"/>
  <c r="H5" i="21"/>
  <c r="G35" i="21" s="1"/>
  <c r="F8" i="12"/>
  <c r="E8" i="12"/>
  <c r="G7" i="12"/>
  <c r="I7" i="12" s="1"/>
  <c r="F7" i="12"/>
  <c r="G6" i="12"/>
  <c r="I6" i="12" s="1"/>
  <c r="F6" i="12"/>
  <c r="G5" i="12"/>
  <c r="I5" i="12" s="1"/>
  <c r="F5" i="12"/>
  <c r="G4" i="12"/>
  <c r="I4" i="12" s="1"/>
  <c r="I8" i="12" s="1"/>
  <c r="F4" i="12"/>
  <c r="C12" i="18"/>
  <c r="E31" i="17"/>
  <c r="E29" i="17"/>
  <c r="D29" i="17"/>
  <c r="G28" i="17"/>
  <c r="F28" i="17"/>
  <c r="C28" i="17" s="1"/>
  <c r="H28" i="17" s="1"/>
  <c r="E28" i="17"/>
  <c r="D28" i="17"/>
  <c r="G27" i="17"/>
  <c r="F27" i="17"/>
  <c r="C27" i="17" s="1"/>
  <c r="H27" i="17" s="1"/>
  <c r="E27" i="17"/>
  <c r="D27" i="17"/>
  <c r="G26" i="17"/>
  <c r="F26" i="17"/>
  <c r="E26" i="17"/>
  <c r="D26" i="17"/>
  <c r="C26" i="17"/>
  <c r="G25" i="17"/>
  <c r="F25" i="17"/>
  <c r="E25" i="17"/>
  <c r="D25" i="17"/>
  <c r="C25" i="17"/>
  <c r="H25" i="17" s="1"/>
  <c r="G24" i="17"/>
  <c r="F24" i="17"/>
  <c r="C24" i="17" s="1"/>
  <c r="E24" i="17"/>
  <c r="D24" i="17"/>
  <c r="G23" i="17"/>
  <c r="F23" i="17"/>
  <c r="E23" i="17"/>
  <c r="D23" i="17"/>
  <c r="C23" i="17"/>
  <c r="G22" i="17"/>
  <c r="F22" i="17"/>
  <c r="C22" i="17" s="1"/>
  <c r="E22" i="17"/>
  <c r="D22" i="17"/>
  <c r="G21" i="17"/>
  <c r="F21" i="17"/>
  <c r="C21" i="17" s="1"/>
  <c r="H21" i="17" s="1"/>
  <c r="E21" i="17"/>
  <c r="D21" i="17"/>
  <c r="G20" i="17"/>
  <c r="F20" i="17"/>
  <c r="C20" i="17" s="1"/>
  <c r="E20" i="17"/>
  <c r="D20" i="17"/>
  <c r="E16" i="17"/>
  <c r="E15" i="17"/>
  <c r="D15" i="17"/>
  <c r="C15" i="17"/>
  <c r="F15" i="17" s="1"/>
  <c r="G15" i="17" s="1"/>
  <c r="E14" i="17"/>
  <c r="C14" i="17"/>
  <c r="F14" i="17" s="1"/>
  <c r="G14" i="17" s="1"/>
  <c r="F13" i="17"/>
  <c r="G13" i="17" s="1"/>
  <c r="E13" i="17"/>
  <c r="C13" i="17"/>
  <c r="E12" i="17"/>
  <c r="C12" i="17"/>
  <c r="F12" i="17" s="1"/>
  <c r="G12" i="17" s="1"/>
  <c r="F11" i="17"/>
  <c r="G11" i="17" s="1"/>
  <c r="E11" i="17"/>
  <c r="C11" i="17"/>
  <c r="E10" i="17"/>
  <c r="C10" i="17"/>
  <c r="F10" i="17" s="1"/>
  <c r="G10" i="17" s="1"/>
  <c r="F9" i="17"/>
  <c r="G9" i="17" s="1"/>
  <c r="E9" i="17"/>
  <c r="C9" i="17"/>
  <c r="E8" i="17"/>
  <c r="C8" i="17"/>
  <c r="F8" i="17" s="1"/>
  <c r="G8" i="17" s="1"/>
  <c r="F7" i="17"/>
  <c r="G7" i="17" s="1"/>
  <c r="E7" i="17"/>
  <c r="C7" i="17"/>
  <c r="E6" i="17"/>
  <c r="C6" i="17"/>
  <c r="F6" i="17" s="1"/>
  <c r="G6" i="17" s="1"/>
  <c r="D32" i="16"/>
  <c r="G31" i="16"/>
  <c r="F31" i="16"/>
  <c r="G30" i="16"/>
  <c r="F30" i="16" s="1"/>
  <c r="D29" i="16"/>
  <c r="G29" i="16" s="1"/>
  <c r="F29" i="16" s="1"/>
  <c r="G28" i="16"/>
  <c r="F28" i="16" s="1"/>
  <c r="G27" i="16"/>
  <c r="F27" i="16" s="1"/>
  <c r="G26" i="16"/>
  <c r="F26" i="16"/>
  <c r="G25" i="16"/>
  <c r="F25" i="16" s="1"/>
  <c r="G24" i="16"/>
  <c r="F24" i="16"/>
  <c r="G23" i="16"/>
  <c r="F23" i="16"/>
  <c r="D19" i="16"/>
  <c r="I29" i="20" s="1"/>
  <c r="C18" i="16"/>
  <c r="C15" i="16"/>
  <c r="C13" i="16"/>
  <c r="C12" i="16"/>
  <c r="C11" i="16"/>
  <c r="C10" i="16"/>
  <c r="C9" i="16"/>
  <c r="C8" i="16"/>
  <c r="C7" i="16"/>
  <c r="E6" i="16"/>
  <c r="E7" i="16" s="1"/>
  <c r="E8" i="16" s="1"/>
  <c r="E9" i="16" s="1"/>
  <c r="C6" i="16"/>
  <c r="E6" i="15"/>
  <c r="G4" i="15"/>
  <c r="H4" i="15" s="1"/>
  <c r="G10" i="14"/>
  <c r="H10" i="14" s="1"/>
  <c r="C10" i="14"/>
  <c r="D10" i="14" s="1"/>
  <c r="G9" i="14"/>
  <c r="H9" i="14" s="1"/>
  <c r="G8" i="14"/>
  <c r="H8" i="14" s="1"/>
  <c r="F7" i="14"/>
  <c r="G7" i="14" s="1"/>
  <c r="H7" i="14" s="1"/>
  <c r="G5" i="14"/>
  <c r="H5" i="14" s="1"/>
  <c r="G4" i="14"/>
  <c r="H4" i="14" s="1"/>
  <c r="J43" i="21"/>
  <c r="R38" i="21"/>
  <c r="T37" i="21"/>
  <c r="S37" i="21"/>
  <c r="T36" i="21"/>
  <c r="T35" i="21"/>
  <c r="S35" i="21"/>
  <c r="T34" i="21"/>
  <c r="S34" i="21"/>
  <c r="T33" i="21"/>
  <c r="S33" i="21"/>
  <c r="T32" i="21"/>
  <c r="S32" i="21"/>
  <c r="G32" i="21"/>
  <c r="T31" i="21"/>
  <c r="S31" i="21"/>
  <c r="G31" i="21"/>
  <c r="T30" i="21"/>
  <c r="S30" i="21"/>
  <c r="G30" i="21"/>
  <c r="T29" i="21"/>
  <c r="S29" i="21"/>
  <c r="G29" i="21"/>
  <c r="T28" i="21"/>
  <c r="S28" i="21"/>
  <c r="U21" i="21"/>
  <c r="S21" i="21"/>
  <c r="Q21" i="21"/>
  <c r="U20" i="21"/>
  <c r="S20" i="21"/>
  <c r="Q20" i="21"/>
  <c r="F20" i="21"/>
  <c r="U19" i="21"/>
  <c r="S19" i="21"/>
  <c r="Q19" i="21"/>
  <c r="U18" i="21"/>
  <c r="S18" i="21"/>
  <c r="Q18" i="21"/>
  <c r="U17" i="21"/>
  <c r="S17" i="21"/>
  <c r="Q17" i="21"/>
  <c r="U16" i="21"/>
  <c r="S16" i="21"/>
  <c r="Q16" i="21"/>
  <c r="U15" i="21"/>
  <c r="S15" i="21"/>
  <c r="Q15" i="21"/>
  <c r="U14" i="21"/>
  <c r="S14" i="21"/>
  <c r="Q14" i="21"/>
  <c r="U13" i="21"/>
  <c r="S13" i="21"/>
  <c r="Q13" i="21"/>
  <c r="U12" i="21"/>
  <c r="S12" i="21"/>
  <c r="Q12" i="21"/>
  <c r="C12" i="21"/>
  <c r="F14" i="21" s="1"/>
  <c r="U11" i="21"/>
  <c r="S11" i="21"/>
  <c r="Q11" i="21"/>
  <c r="U10" i="21"/>
  <c r="S10" i="21"/>
  <c r="Q10" i="21"/>
  <c r="U9" i="21"/>
  <c r="S9" i="21"/>
  <c r="Q9" i="21"/>
  <c r="H9" i="21"/>
  <c r="N9" i="21" s="1"/>
  <c r="N8" i="21"/>
  <c r="C8" i="21"/>
  <c r="N5" i="21"/>
  <c r="M5" i="21"/>
  <c r="E5" i="21"/>
  <c r="G5" i="21" s="1"/>
  <c r="J43" i="20"/>
  <c r="R38" i="20"/>
  <c r="T37" i="20"/>
  <c r="S37" i="20"/>
  <c r="T36" i="20"/>
  <c r="T35" i="20"/>
  <c r="S35" i="20"/>
  <c r="T34" i="20"/>
  <c r="S34" i="20"/>
  <c r="T33" i="20"/>
  <c r="S33" i="20"/>
  <c r="T32" i="20"/>
  <c r="S32" i="20"/>
  <c r="G32" i="20"/>
  <c r="T31" i="20"/>
  <c r="S31" i="20"/>
  <c r="G31" i="20"/>
  <c r="T30" i="20"/>
  <c r="S30" i="20"/>
  <c r="G30" i="20"/>
  <c r="T29" i="20"/>
  <c r="S29" i="20"/>
  <c r="G29" i="20"/>
  <c r="T28" i="20"/>
  <c r="S28" i="20"/>
  <c r="U21" i="20"/>
  <c r="S21" i="20"/>
  <c r="Q21" i="20"/>
  <c r="F21" i="20"/>
  <c r="C21" i="20"/>
  <c r="U20" i="20"/>
  <c r="S20" i="20"/>
  <c r="Q20" i="20"/>
  <c r="F20" i="20"/>
  <c r="U19" i="20"/>
  <c r="S19" i="20"/>
  <c r="Q19" i="20"/>
  <c r="N19" i="20"/>
  <c r="H19" i="20"/>
  <c r="U18" i="20"/>
  <c r="S18" i="20"/>
  <c r="Q18" i="20"/>
  <c r="N18" i="20"/>
  <c r="H18" i="20"/>
  <c r="U17" i="20"/>
  <c r="S17" i="20"/>
  <c r="Q17" i="20"/>
  <c r="N17" i="20"/>
  <c r="H17" i="20"/>
  <c r="U16" i="20"/>
  <c r="S16" i="20"/>
  <c r="Q16" i="20"/>
  <c r="N16" i="20"/>
  <c r="H16" i="20"/>
  <c r="U15" i="20"/>
  <c r="S15" i="20"/>
  <c r="Q15" i="20"/>
  <c r="N15" i="20"/>
  <c r="H15" i="20"/>
  <c r="U14" i="20"/>
  <c r="S14" i="20"/>
  <c r="Q14" i="20"/>
  <c r="F14" i="20"/>
  <c r="U13" i="20"/>
  <c r="S13" i="20"/>
  <c r="Q13" i="20"/>
  <c r="N13" i="20"/>
  <c r="H13" i="20"/>
  <c r="U12" i="20"/>
  <c r="S12" i="20"/>
  <c r="Q12" i="20"/>
  <c r="N12" i="20"/>
  <c r="H12" i="20"/>
  <c r="C12" i="20"/>
  <c r="U11" i="20"/>
  <c r="S11" i="20"/>
  <c r="Q11" i="20"/>
  <c r="F11" i="20"/>
  <c r="U10" i="20"/>
  <c r="S10" i="20"/>
  <c r="Q10" i="20"/>
  <c r="N10" i="20"/>
  <c r="H10" i="20"/>
  <c r="U9" i="20"/>
  <c r="S9" i="20"/>
  <c r="Q9" i="20"/>
  <c r="N9" i="20"/>
  <c r="H9" i="20"/>
  <c r="N8" i="20"/>
  <c r="C8" i="20"/>
  <c r="N5" i="20"/>
  <c r="M5" i="20"/>
  <c r="H5" i="20"/>
  <c r="G45" i="20" s="1"/>
  <c r="E5" i="20"/>
  <c r="G5" i="20" s="1"/>
  <c r="F8" i="16" l="1"/>
  <c r="G8" i="16" s="1"/>
  <c r="E10" i="16"/>
  <c r="E11" i="16" s="1"/>
  <c r="E12" i="16" s="1"/>
  <c r="E13" i="16" s="1"/>
  <c r="E15" i="16" s="1"/>
  <c r="E19" i="16" s="1"/>
  <c r="F9" i="16"/>
  <c r="G9" i="16" s="1"/>
  <c r="F12" i="16"/>
  <c r="G12" i="16" s="1"/>
  <c r="F13" i="16"/>
  <c r="G13" i="16" s="1"/>
  <c r="F15" i="16"/>
  <c r="G15" i="16" s="1"/>
  <c r="F7" i="16"/>
  <c r="G7" i="16" s="1"/>
  <c r="E23" i="16"/>
  <c r="E24" i="16" s="1"/>
  <c r="F6" i="16"/>
  <c r="G6" i="16" s="1"/>
  <c r="G41" i="20"/>
  <c r="G10" i="20"/>
  <c r="G47" i="20"/>
  <c r="G15" i="20"/>
  <c r="G49" i="20"/>
  <c r="G13" i="20"/>
  <c r="G17" i="20"/>
  <c r="G19" i="20"/>
  <c r="G23" i="20"/>
  <c r="G35" i="20"/>
  <c r="G39" i="20"/>
  <c r="G8" i="20"/>
  <c r="G27" i="20"/>
  <c r="G43" i="20"/>
  <c r="H43" i="20" s="1"/>
  <c r="G16" i="20"/>
  <c r="G28" i="20"/>
  <c r="G33" i="20"/>
  <c r="G25" i="20"/>
  <c r="G9" i="20"/>
  <c r="I5" i="20"/>
  <c r="G12" i="20"/>
  <c r="G18" i="20"/>
  <c r="G37" i="20"/>
  <c r="J23" i="20"/>
  <c r="H20" i="17"/>
  <c r="C29" i="17"/>
  <c r="H4" i="12"/>
  <c r="H6" i="12"/>
  <c r="C19" i="16"/>
  <c r="J29" i="21" s="1"/>
  <c r="C16" i="17"/>
  <c r="H5" i="12"/>
  <c r="H7" i="12"/>
  <c r="C7" i="14"/>
  <c r="D7" i="14" s="1"/>
  <c r="B15" i="22"/>
  <c r="B10" i="22"/>
  <c r="B19" i="22"/>
  <c r="L13" i="22"/>
  <c r="L14" i="22" s="1"/>
  <c r="G23" i="22"/>
  <c r="H17" i="22"/>
  <c r="I17" i="22" s="1"/>
  <c r="K17" i="22"/>
  <c r="G37" i="22"/>
  <c r="H9" i="22"/>
  <c r="I9" i="22" s="1"/>
  <c r="M10" i="22"/>
  <c r="L17" i="22"/>
  <c r="L9" i="22"/>
  <c r="K10" i="22"/>
  <c r="G39" i="22"/>
  <c r="S31" i="22"/>
  <c r="T31" i="22" s="1"/>
  <c r="S34" i="22"/>
  <c r="T34" i="22" s="1"/>
  <c r="H15" i="22"/>
  <c r="I15" i="22" s="1"/>
  <c r="B17" i="22"/>
  <c r="H19" i="22"/>
  <c r="I19" i="22" s="1"/>
  <c r="G35" i="22"/>
  <c r="G45" i="22"/>
  <c r="I23" i="22"/>
  <c r="H23" i="22" s="1"/>
  <c r="K43" i="22"/>
  <c r="G5" i="22"/>
  <c r="I5" i="22" s="1"/>
  <c r="H8" i="22"/>
  <c r="G43" i="22"/>
  <c r="H43" i="22" s="1"/>
  <c r="K8" i="22"/>
  <c r="W9" i="22"/>
  <c r="F11" i="22"/>
  <c r="F21" i="22" s="1"/>
  <c r="K18" i="22"/>
  <c r="G41" i="22"/>
  <c r="H18" i="22"/>
  <c r="I18" i="22" s="1"/>
  <c r="W12" i="22"/>
  <c r="W15" i="22"/>
  <c r="G27" i="22"/>
  <c r="L8" i="22"/>
  <c r="K12" i="22"/>
  <c r="B14" i="22"/>
  <c r="K15" i="22"/>
  <c r="L18" i="22"/>
  <c r="L20" i="22" s="1"/>
  <c r="G33" i="22"/>
  <c r="G49" i="22"/>
  <c r="W18" i="22"/>
  <c r="B20" i="22"/>
  <c r="I29" i="22"/>
  <c r="B12" i="22"/>
  <c r="G25" i="22"/>
  <c r="C21" i="21"/>
  <c r="I29" i="21"/>
  <c r="L5" i="14"/>
  <c r="F6" i="14" s="1"/>
  <c r="G39" i="21"/>
  <c r="G19" i="21"/>
  <c r="L19" i="21" s="1"/>
  <c r="F6" i="15"/>
  <c r="G6" i="15" s="1"/>
  <c r="H6" i="15" s="1"/>
  <c r="J28" i="20"/>
  <c r="J28" i="21"/>
  <c r="D4" i="15"/>
  <c r="D6" i="15" s="1"/>
  <c r="G33" i="21"/>
  <c r="G25" i="21"/>
  <c r="G10" i="21"/>
  <c r="G12" i="21"/>
  <c r="G13" i="21"/>
  <c r="G16" i="21"/>
  <c r="G41" i="21"/>
  <c r="G45" i="21"/>
  <c r="G17" i="21"/>
  <c r="L17" i="21" s="1"/>
  <c r="G15" i="21"/>
  <c r="B15" i="21" s="1"/>
  <c r="G47" i="21"/>
  <c r="G8" i="21"/>
  <c r="G18" i="21"/>
  <c r="G27" i="21"/>
  <c r="G28" i="21"/>
  <c r="G43" i="21"/>
  <c r="H43" i="21" s="1"/>
  <c r="I5" i="21"/>
  <c r="G37" i="21"/>
  <c r="G23" i="21"/>
  <c r="G49" i="21"/>
  <c r="G9" i="21"/>
  <c r="I9" i="21" s="1"/>
  <c r="J9" i="21" s="1"/>
  <c r="F11" i="21"/>
  <c r="F21" i="21" s="1"/>
  <c r="H10" i="21"/>
  <c r="J23" i="21"/>
  <c r="C23" i="16" l="1"/>
  <c r="H23" i="16" s="1"/>
  <c r="C24" i="16"/>
  <c r="H24" i="16" s="1"/>
  <c r="E25" i="16"/>
  <c r="F11" i="16"/>
  <c r="G11" i="16" s="1"/>
  <c r="F10" i="16"/>
  <c r="G10" i="16" s="1"/>
  <c r="L19" i="20"/>
  <c r="X19" i="20"/>
  <c r="I19" i="20"/>
  <c r="J19" i="20" s="1"/>
  <c r="B19" i="20"/>
  <c r="M19" i="20"/>
  <c r="M13" i="20"/>
  <c r="L13" i="20"/>
  <c r="X13" i="20"/>
  <c r="I13" i="20"/>
  <c r="J13" i="20" s="1"/>
  <c r="B13" i="20"/>
  <c r="B12" i="20"/>
  <c r="M12" i="20"/>
  <c r="M14" i="20" s="1"/>
  <c r="L12" i="20"/>
  <c r="G14" i="20"/>
  <c r="B14" i="20" s="1"/>
  <c r="X12" i="20"/>
  <c r="I12" i="20"/>
  <c r="M15" i="20"/>
  <c r="I15" i="20"/>
  <c r="L15" i="20"/>
  <c r="X15" i="20"/>
  <c r="G20" i="20"/>
  <c r="B20" i="20" s="1"/>
  <c r="B15" i="20"/>
  <c r="I16" i="20"/>
  <c r="J16" i="20" s="1"/>
  <c r="M16" i="20"/>
  <c r="B16" i="20"/>
  <c r="L16" i="20"/>
  <c r="X16" i="20"/>
  <c r="B10" i="20"/>
  <c r="M10" i="20"/>
  <c r="L10" i="20"/>
  <c r="X10" i="20"/>
  <c r="I10" i="20"/>
  <c r="J10" i="20" s="1"/>
  <c r="M17" i="20"/>
  <c r="L17" i="20"/>
  <c r="X17" i="20"/>
  <c r="I17" i="20"/>
  <c r="J17" i="20" s="1"/>
  <c r="B17" i="20"/>
  <c r="M18" i="20"/>
  <c r="B18" i="20"/>
  <c r="L18" i="20"/>
  <c r="X18" i="20"/>
  <c r="I18" i="20"/>
  <c r="J18" i="20" s="1"/>
  <c r="L8" i="20"/>
  <c r="I8" i="20"/>
  <c r="G11" i="20"/>
  <c r="X8" i="20"/>
  <c r="B8" i="20"/>
  <c r="M8" i="20"/>
  <c r="M11" i="20" s="1"/>
  <c r="X9" i="20"/>
  <c r="I9" i="20"/>
  <c r="J9" i="20" s="1"/>
  <c r="B9" i="20"/>
  <c r="M9" i="20"/>
  <c r="L9" i="20"/>
  <c r="K43" i="20"/>
  <c r="I23" i="20"/>
  <c r="J29" i="22"/>
  <c r="F16" i="17"/>
  <c r="G16" i="17" s="1"/>
  <c r="J31" i="20"/>
  <c r="C31" i="17"/>
  <c r="J32" i="21"/>
  <c r="I32" i="21" s="1"/>
  <c r="F29" i="17"/>
  <c r="G29" i="17" s="1"/>
  <c r="J32" i="22"/>
  <c r="I32" i="22" s="1"/>
  <c r="J32" i="20"/>
  <c r="J31" i="21"/>
  <c r="I31" i="21" s="1"/>
  <c r="H8" i="12"/>
  <c r="J29" i="20"/>
  <c r="F19" i="16"/>
  <c r="G19" i="16" s="1"/>
  <c r="J31" i="22"/>
  <c r="I31" i="22" s="1"/>
  <c r="B19" i="21"/>
  <c r="I28" i="21"/>
  <c r="H28" i="21" s="1"/>
  <c r="I28" i="22"/>
  <c r="H28" i="22" s="1"/>
  <c r="L11" i="22"/>
  <c r="H10" i="22"/>
  <c r="I10" i="22" s="1"/>
  <c r="H11" i="22"/>
  <c r="I8" i="22"/>
  <c r="I20" i="22"/>
  <c r="B11" i="22"/>
  <c r="B21" i="22"/>
  <c r="E14" i="22"/>
  <c r="H12" i="22"/>
  <c r="M12" i="22"/>
  <c r="H20" i="22"/>
  <c r="G20" i="22" s="1"/>
  <c r="L21" i="22"/>
  <c r="M19" i="21"/>
  <c r="X19" i="21"/>
  <c r="C6" i="14"/>
  <c r="G6" i="14"/>
  <c r="H6" i="14" s="1"/>
  <c r="I28" i="20"/>
  <c r="H28" i="20" s="1"/>
  <c r="M15" i="21"/>
  <c r="X15" i="21"/>
  <c r="G20" i="21"/>
  <c r="B20" i="21" s="1"/>
  <c r="L15" i="21"/>
  <c r="L18" i="21"/>
  <c r="X16" i="21"/>
  <c r="B16" i="21"/>
  <c r="M16" i="21"/>
  <c r="M12" i="21"/>
  <c r="L12" i="21"/>
  <c r="G14" i="21"/>
  <c r="B14" i="21" s="1"/>
  <c r="X12" i="21"/>
  <c r="B12" i="21"/>
  <c r="L10" i="21"/>
  <c r="B10" i="21"/>
  <c r="M10" i="21"/>
  <c r="X10" i="21"/>
  <c r="L16" i="21"/>
  <c r="B8" i="21"/>
  <c r="X8" i="21"/>
  <c r="G11" i="21"/>
  <c r="L8" i="21"/>
  <c r="M8" i="21"/>
  <c r="I8" i="21"/>
  <c r="J8" i="21" s="1"/>
  <c r="M17" i="21"/>
  <c r="X17" i="21"/>
  <c r="X9" i="21"/>
  <c r="B9" i="21"/>
  <c r="M9" i="21"/>
  <c r="L9" i="21"/>
  <c r="M18" i="21"/>
  <c r="B18" i="21"/>
  <c r="X18" i="21"/>
  <c r="X13" i="21"/>
  <c r="L13" i="21"/>
  <c r="M13" i="21"/>
  <c r="B13" i="21"/>
  <c r="B17" i="21"/>
  <c r="I10" i="21"/>
  <c r="J10" i="21" s="1"/>
  <c r="N10" i="21"/>
  <c r="I23" i="21"/>
  <c r="H23" i="21" s="1"/>
  <c r="K43" i="21"/>
  <c r="E26" i="16" l="1"/>
  <c r="C25" i="16"/>
  <c r="I14" i="20"/>
  <c r="J12" i="20"/>
  <c r="E14" i="20"/>
  <c r="B11" i="20"/>
  <c r="G21" i="20"/>
  <c r="B21" i="20" s="1"/>
  <c r="J15" i="20"/>
  <c r="I20" i="20"/>
  <c r="I11" i="20"/>
  <c r="J8" i="20"/>
  <c r="M20" i="20"/>
  <c r="M21" i="20" s="1"/>
  <c r="H23" i="20"/>
  <c r="I31" i="20"/>
  <c r="H32" i="21"/>
  <c r="H32" i="22"/>
  <c r="H32" i="20"/>
  <c r="D31" i="17"/>
  <c r="F31" i="17"/>
  <c r="G31" i="17" s="1"/>
  <c r="H31" i="21"/>
  <c r="H31" i="20"/>
  <c r="H31" i="22"/>
  <c r="I32" i="20"/>
  <c r="H29" i="21"/>
  <c r="H29" i="22"/>
  <c r="H29" i="20"/>
  <c r="M20" i="22"/>
  <c r="M13" i="22"/>
  <c r="H13" i="22"/>
  <c r="I13" i="22" s="1"/>
  <c r="I12" i="22"/>
  <c r="I11" i="22"/>
  <c r="C11" i="14"/>
  <c r="J27" i="22" s="1"/>
  <c r="D6" i="14"/>
  <c r="D11" i="14" s="1"/>
  <c r="I27" i="22" s="1"/>
  <c r="M20" i="21"/>
  <c r="M11" i="21"/>
  <c r="J11" i="21"/>
  <c r="N11" i="21" s="1"/>
  <c r="M14" i="21"/>
  <c r="G21" i="21"/>
  <c r="B21" i="21" s="1"/>
  <c r="B11" i="21"/>
  <c r="E14" i="21"/>
  <c r="I11" i="21"/>
  <c r="H11" i="21" s="1"/>
  <c r="I12" i="21"/>
  <c r="N12" i="21"/>
  <c r="E27" i="16" l="1"/>
  <c r="C26" i="16"/>
  <c r="J11" i="20"/>
  <c r="D3" i="18"/>
  <c r="H14" i="20"/>
  <c r="J20" i="20"/>
  <c r="J14" i="20"/>
  <c r="D14" i="20"/>
  <c r="H11" i="20"/>
  <c r="D2" i="18"/>
  <c r="I21" i="20"/>
  <c r="D4" i="18"/>
  <c r="H20" i="20"/>
  <c r="H27" i="22"/>
  <c r="I14" i="22"/>
  <c r="M11" i="22"/>
  <c r="H14" i="22"/>
  <c r="M21" i="21"/>
  <c r="I27" i="21"/>
  <c r="I27" i="20"/>
  <c r="J27" i="21"/>
  <c r="J27" i="20"/>
  <c r="F11" i="14"/>
  <c r="G11" i="14" s="1"/>
  <c r="H11" i="14" s="1"/>
  <c r="N13" i="21"/>
  <c r="I13" i="21"/>
  <c r="J13" i="21" s="1"/>
  <c r="J12" i="21"/>
  <c r="C27" i="16" l="1"/>
  <c r="E28" i="16"/>
  <c r="N20" i="20"/>
  <c r="J21" i="20"/>
  <c r="K27" i="20" s="1"/>
  <c r="H21" i="20"/>
  <c r="I25" i="20"/>
  <c r="N14" i="20"/>
  <c r="N11" i="20"/>
  <c r="H21" i="22"/>
  <c r="D14" i="22"/>
  <c r="M14" i="22"/>
  <c r="H27" i="20"/>
  <c r="H27" i="21"/>
  <c r="I14" i="21"/>
  <c r="H14" i="21" s="1"/>
  <c r="D14" i="21"/>
  <c r="J14" i="21"/>
  <c r="N15" i="21"/>
  <c r="I15" i="21"/>
  <c r="E29" i="16" l="1"/>
  <c r="C28" i="16"/>
  <c r="H28" i="16" s="1"/>
  <c r="K14" i="20"/>
  <c r="H25" i="20"/>
  <c r="K25" i="20"/>
  <c r="N21" i="20"/>
  <c r="K21" i="20"/>
  <c r="J25" i="20"/>
  <c r="K23" i="20"/>
  <c r="K28" i="20"/>
  <c r="L27" i="20" s="1"/>
  <c r="K10" i="20"/>
  <c r="K17" i="20"/>
  <c r="K16" i="20"/>
  <c r="K13" i="20"/>
  <c r="K9" i="20"/>
  <c r="K19" i="20"/>
  <c r="K32" i="20"/>
  <c r="K29" i="20"/>
  <c r="K18" i="20"/>
  <c r="K31" i="20"/>
  <c r="K15" i="20"/>
  <c r="K8" i="20"/>
  <c r="K12" i="20"/>
  <c r="K20" i="20"/>
  <c r="K11" i="20"/>
  <c r="I21" i="22"/>
  <c r="I25" i="22"/>
  <c r="G21" i="22"/>
  <c r="I16" i="21"/>
  <c r="J16" i="21" s="1"/>
  <c r="N16" i="21"/>
  <c r="N14" i="21"/>
  <c r="J15" i="21"/>
  <c r="C29" i="16" l="1"/>
  <c r="E30" i="16"/>
  <c r="K25" i="22"/>
  <c r="H25" i="22"/>
  <c r="M21" i="22"/>
  <c r="J21" i="22"/>
  <c r="J25" i="22"/>
  <c r="K27" i="22"/>
  <c r="K29" i="22"/>
  <c r="K28" i="22"/>
  <c r="J16" i="22"/>
  <c r="K31" i="22"/>
  <c r="J19" i="22"/>
  <c r="K23" i="22"/>
  <c r="J17" i="22"/>
  <c r="K32" i="22"/>
  <c r="J9" i="22"/>
  <c r="J18" i="22"/>
  <c r="J15" i="22"/>
  <c r="J10" i="22"/>
  <c r="J20" i="22"/>
  <c r="J8" i="22"/>
  <c r="J12" i="22"/>
  <c r="J11" i="22"/>
  <c r="J13" i="22"/>
  <c r="J14" i="22"/>
  <c r="N17" i="21"/>
  <c r="I17" i="21"/>
  <c r="E31" i="16" l="1"/>
  <c r="C30" i="16"/>
  <c r="H30" i="16" s="1"/>
  <c r="L27" i="22"/>
  <c r="J17" i="21"/>
  <c r="I18" i="21"/>
  <c r="J18" i="21" s="1"/>
  <c r="N18" i="21"/>
  <c r="N19" i="21"/>
  <c r="I19" i="21"/>
  <c r="J19" i="21" s="1"/>
  <c r="C31" i="16" l="1"/>
  <c r="E32" i="16"/>
  <c r="E18" i="16" s="1"/>
  <c r="I20" i="21"/>
  <c r="J20" i="21"/>
  <c r="E34" i="16" l="1"/>
  <c r="F18" i="16"/>
  <c r="G18" i="16" s="1"/>
  <c r="H31" i="16"/>
  <c r="C32" i="16"/>
  <c r="N20" i="21"/>
  <c r="H20" i="21"/>
  <c r="I21" i="21"/>
  <c r="D7" i="18" s="1"/>
  <c r="F32" i="16" l="1"/>
  <c r="G32" i="16" s="1"/>
  <c r="C34" i="16"/>
  <c r="D8" i="18"/>
  <c r="E7" i="18"/>
  <c r="I25" i="21"/>
  <c r="H21" i="21"/>
  <c r="J21" i="21"/>
  <c r="F34" i="16" l="1"/>
  <c r="G34" i="16" s="1"/>
  <c r="D34" i="16"/>
  <c r="H30" i="21"/>
  <c r="I30" i="21" s="1"/>
  <c r="J30" i="21" s="1"/>
  <c r="K30" i="21" s="1"/>
  <c r="H30" i="20"/>
  <c r="I30" i="20" s="1"/>
  <c r="J30" i="20" s="1"/>
  <c r="K30" i="20" s="1"/>
  <c r="L29" i="20" s="1"/>
  <c r="H30" i="22"/>
  <c r="I30" i="22" s="1"/>
  <c r="J30" i="22" s="1"/>
  <c r="K30" i="22" s="1"/>
  <c r="L29" i="22" s="1"/>
  <c r="D9" i="18"/>
  <c r="E8" i="18"/>
  <c r="K9" i="21"/>
  <c r="K28" i="21"/>
  <c r="K11" i="21"/>
  <c r="K29" i="21"/>
  <c r="N21" i="21"/>
  <c r="K32" i="21"/>
  <c r="K27" i="21"/>
  <c r="K31" i="21"/>
  <c r="K10" i="21"/>
  <c r="K23" i="21"/>
  <c r="K8" i="21"/>
  <c r="J25" i="21"/>
  <c r="K21" i="21"/>
  <c r="K12" i="21"/>
  <c r="K13" i="21"/>
  <c r="K14" i="21"/>
  <c r="K16" i="21"/>
  <c r="K15" i="21"/>
  <c r="K19" i="21"/>
  <c r="K18" i="21"/>
  <c r="K17" i="21"/>
  <c r="K20" i="21"/>
  <c r="K25" i="21"/>
  <c r="H25" i="21"/>
  <c r="D10" i="18" l="1"/>
  <c r="E9" i="18"/>
  <c r="L27" i="21"/>
  <c r="L29" i="21"/>
  <c r="D11" i="18" l="1"/>
  <c r="E10" i="18"/>
  <c r="D12" i="18" l="1"/>
  <c r="E11" i="18"/>
  <c r="E12" i="18" s="1"/>
  <c r="I33" i="22" s="1"/>
  <c r="J33" i="22" l="1"/>
  <c r="H33" i="22"/>
  <c r="I35" i="22"/>
  <c r="I33" i="21"/>
  <c r="I33" i="20"/>
  <c r="H35" i="22" l="1"/>
  <c r="I37" i="22"/>
  <c r="J35" i="22"/>
  <c r="K33" i="22"/>
  <c r="L33" i="22" s="1"/>
  <c r="H33" i="20"/>
  <c r="I35" i="20"/>
  <c r="J33" i="20"/>
  <c r="I35" i="21"/>
  <c r="J33" i="21"/>
  <c r="H33" i="21"/>
  <c r="K35" i="22" l="1"/>
  <c r="N41" i="22"/>
  <c r="O41" i="22" s="1"/>
  <c r="J39" i="22" s="1"/>
  <c r="N46" i="22" s="1"/>
  <c r="J37" i="22"/>
  <c r="H37" i="22"/>
  <c r="J35" i="21"/>
  <c r="K33" i="21"/>
  <c r="L33" i="21" s="1"/>
  <c r="H35" i="21"/>
  <c r="I37" i="21"/>
  <c r="K33" i="20"/>
  <c r="L33" i="20" s="1"/>
  <c r="J35" i="20"/>
  <c r="I37" i="20"/>
  <c r="H35" i="20"/>
  <c r="N50" i="22" l="1"/>
  <c r="O50" i="22" s="1"/>
  <c r="Q50" i="22" s="1"/>
  <c r="I39" i="22"/>
  <c r="K39" i="22"/>
  <c r="J41" i="22"/>
  <c r="K37" i="22"/>
  <c r="H37" i="20"/>
  <c r="J37" i="20"/>
  <c r="N41" i="20"/>
  <c r="K35" i="20"/>
  <c r="H37" i="21"/>
  <c r="K35" i="21"/>
  <c r="N41" i="21"/>
  <c r="O41" i="21" s="1"/>
  <c r="J39" i="21" s="1"/>
  <c r="N46" i="21" s="1"/>
  <c r="J37" i="21"/>
  <c r="K41" i="22" l="1"/>
  <c r="J45" i="22"/>
  <c r="I2" i="22"/>
  <c r="H39" i="22"/>
  <c r="I41" i="22"/>
  <c r="I45" i="22" s="1"/>
  <c r="K37" i="21"/>
  <c r="J41" i="21"/>
  <c r="O41" i="20"/>
  <c r="J39" i="20" s="1"/>
  <c r="N50" i="20" s="1"/>
  <c r="O50" i="20" s="1"/>
  <c r="Q50" i="20" s="1"/>
  <c r="N50" i="21"/>
  <c r="O50" i="21" s="1"/>
  <c r="Q50" i="21" s="1"/>
  <c r="K39" i="21"/>
  <c r="I39" i="21"/>
  <c r="K37" i="20"/>
  <c r="K45" i="22" l="1"/>
  <c r="G2" i="22" s="1"/>
  <c r="J47" i="22"/>
  <c r="N47" i="22"/>
  <c r="O46" i="22" s="1"/>
  <c r="O47" i="22" s="1"/>
  <c r="H2" i="22"/>
  <c r="H41" i="22"/>
  <c r="H45" i="22" s="1"/>
  <c r="J41" i="20"/>
  <c r="K41" i="20" s="1"/>
  <c r="K39" i="20"/>
  <c r="I39" i="20"/>
  <c r="N46" i="20"/>
  <c r="H39" i="21"/>
  <c r="I41" i="21"/>
  <c r="I45" i="21" s="1"/>
  <c r="J45" i="21"/>
  <c r="I2" i="21"/>
  <c r="K41" i="21"/>
  <c r="J49" i="22" l="1"/>
  <c r="K49" i="22" s="1"/>
  <c r="I47" i="22"/>
  <c r="K47" i="22"/>
  <c r="J45" i="20"/>
  <c r="N47" i="20" s="1"/>
  <c r="O46" i="20" s="1"/>
  <c r="O47" i="20" s="1"/>
  <c r="I2" i="20"/>
  <c r="H41" i="21"/>
  <c r="H45" i="21" s="1"/>
  <c r="H39" i="20"/>
  <c r="I41" i="20"/>
  <c r="I45" i="20" s="1"/>
  <c r="H2" i="21"/>
  <c r="K45" i="21"/>
  <c r="G2" i="21" s="1"/>
  <c r="J47" i="21"/>
  <c r="N47" i="21"/>
  <c r="O46" i="21" s="1"/>
  <c r="O47" i="21" s="1"/>
  <c r="H47" i="22" l="1"/>
  <c r="I49" i="22"/>
  <c r="K45" i="20"/>
  <c r="G2" i="20" s="1"/>
  <c r="J47" i="20"/>
  <c r="J49" i="20" s="1"/>
  <c r="K49" i="20" s="1"/>
  <c r="H2" i="20"/>
  <c r="H41" i="20"/>
  <c r="H45" i="20" s="1"/>
  <c r="J49" i="21"/>
  <c r="K49" i="21" s="1"/>
  <c r="I47" i="21"/>
  <c r="K47" i="21"/>
  <c r="H51" i="22" l="1"/>
  <c r="E52" i="22" s="1"/>
  <c r="H49" i="22"/>
  <c r="K47" i="20"/>
  <c r="I47" i="20"/>
  <c r="H47" i="20" s="1"/>
  <c r="H51" i="20" s="1"/>
  <c r="E52" i="20" s="1"/>
  <c r="H47" i="21"/>
  <c r="I49" i="21"/>
  <c r="I49" i="20" l="1"/>
  <c r="H49" i="20"/>
  <c r="H51" i="21"/>
  <c r="E52" i="21" s="1"/>
  <c r="H49" i="21"/>
</calcChain>
</file>

<file path=xl/sharedStrings.xml><?xml version="1.0" encoding="utf-8"?>
<sst xmlns="http://schemas.openxmlformats.org/spreadsheetml/2006/main" count="471" uniqueCount="173">
  <si>
    <t>MIG</t>
  </si>
  <si>
    <t>PRESUPUESTO OPERACIONES</t>
  </si>
  <si>
    <t>UTILIDAD</t>
  </si>
  <si>
    <t>COLOCAR LA CANTIDAD DE CONTENEDORES</t>
  </si>
  <si>
    <t>(tc_2023)</t>
  </si>
  <si>
    <t>CONTENEDORES DE 20' (10,000 KG)</t>
  </si>
  <si>
    <t>Qtz x qq</t>
  </si>
  <si>
    <t>TOTAL</t>
  </si>
  <si>
    <t>TC</t>
  </si>
  <si>
    <t>US$</t>
  </si>
  <si>
    <t>Total Kilos</t>
  </si>
  <si>
    <t>$ x Kg</t>
  </si>
  <si>
    <t>CONTENEDORES DE 40' (23,000 KG)</t>
  </si>
  <si>
    <t>Cantidad</t>
  </si>
  <si>
    <t>TOTAL CONTENEDORES</t>
  </si>
  <si>
    <t>Relación precios</t>
  </si>
  <si>
    <t>2da. Relación precios</t>
  </si>
  <si>
    <t>Merma -&gt;</t>
  </si>
  <si>
    <t>vista 24/oct/23</t>
  </si>
  <si>
    <t>año 2020</t>
  </si>
  <si>
    <t>Vista 24/oct/23</t>
  </si>
  <si>
    <t>Kg por caja</t>
  </si>
  <si>
    <t>Cajas Producto Terminado</t>
  </si>
  <si>
    <t>Quality</t>
  </si>
  <si>
    <t xml:space="preserve"> % de los KG</t>
  </si>
  <si>
    <t>Percentage</t>
  </si>
  <si>
    <t>Calidades</t>
  </si>
  <si>
    <t>Ponderado</t>
  </si>
  <si>
    <t>Kilos</t>
  </si>
  <si>
    <t>Precio Vta.</t>
  </si>
  <si>
    <t>Precio de Venta</t>
  </si>
  <si>
    <t>Precio de Venta Qtz</t>
  </si>
  <si>
    <t>% S/VENTA</t>
  </si>
  <si>
    <t>qq</t>
  </si>
  <si>
    <t>SGQ</t>
  </si>
  <si>
    <t>P1</t>
  </si>
  <si>
    <t>P2</t>
  </si>
  <si>
    <t>P3</t>
  </si>
  <si>
    <t>PGQ</t>
  </si>
  <si>
    <t>S1  +7mm</t>
  </si>
  <si>
    <t>S2  5-6mm</t>
  </si>
  <si>
    <t>MYQ</t>
  </si>
  <si>
    <t>Y</t>
  </si>
  <si>
    <t>GOP</t>
  </si>
  <si>
    <t>TH</t>
  </si>
  <si>
    <t>Seeds / ORO</t>
  </si>
  <si>
    <t>ORO</t>
  </si>
  <si>
    <t>Total</t>
  </si>
  <si>
    <t>TOTAL VENTA</t>
  </si>
  <si>
    <t>VALOR DE COMPRA</t>
  </si>
  <si>
    <t>UTILIDAD MARGINAL</t>
  </si>
  <si>
    <t>ANEXO 1</t>
  </si>
  <si>
    <t>GASTOS DE COMPRA</t>
  </si>
  <si>
    <t>ANEXO 2</t>
  </si>
  <si>
    <t>MAQUILA</t>
  </si>
  <si>
    <t>ANEXO 3</t>
  </si>
  <si>
    <t>GASTOS EXPO. FIJOS x contenedor 20'</t>
  </si>
  <si>
    <t>GASTOS EXPO. Variables x contenedor 20'</t>
  </si>
  <si>
    <t>ANEXO 4</t>
  </si>
  <si>
    <t>GASTOS EXPO. FIJOS x contenedor 40'</t>
  </si>
  <si>
    <t>GASTOS EXPO. Variables x contenedor 40'</t>
  </si>
  <si>
    <t>ANEXO 5</t>
  </si>
  <si>
    <t>COSTO VARIABLE AL VALOR FACTURA</t>
  </si>
  <si>
    <t>TOTAL COSTOS</t>
  </si>
  <si>
    <t>UTILIDAD EXPORTACION</t>
  </si>
  <si>
    <t>NECESIDAD DE EFECTIVO S/MONTO COMPRA</t>
  </si>
  <si>
    <t>TASA DE INTERES ANUAL</t>
  </si>
  <si>
    <t>MESES RETORNO</t>
  </si>
  <si>
    <t>COSTO FINANCIERO</t>
  </si>
  <si>
    <t>MONTO COMPRA+GTOS</t>
  </si>
  <si>
    <t>INTERESES</t>
  </si>
  <si>
    <t>UTILIDAD ANTES DE ADMIN</t>
  </si>
  <si>
    <t>GASTOS FIJOS</t>
  </si>
  <si>
    <t>UTILIDAD NETA ANTES DE ISR</t>
  </si>
  <si>
    <t>MEDICION DE RESULTADOS FINANCIEROS</t>
  </si>
  <si>
    <t>INVERTIDO</t>
  </si>
  <si>
    <t>RENDIMIENTO NETO</t>
  </si>
  <si>
    <t>ISR 25%</t>
  </si>
  <si>
    <t>RESULTADO</t>
  </si>
  <si>
    <t>RENDIMIENTO TASA ANUAL</t>
  </si>
  <si>
    <t>UTILIDAD NETA</t>
  </si>
  <si>
    <t>Costo por Kg. final</t>
  </si>
  <si>
    <t>Costo de gastos por kg.</t>
  </si>
  <si>
    <t>Costo total Qtz</t>
  </si>
  <si>
    <t>Costo total $</t>
  </si>
  <si>
    <t>US$ x qq</t>
  </si>
  <si>
    <t>US$ x kg</t>
  </si>
  <si>
    <t>Flete Interno</t>
  </si>
  <si>
    <t>Carga/Descarga</t>
  </si>
  <si>
    <t>Va en la maquila</t>
  </si>
  <si>
    <t>Costo seguro</t>
  </si>
  <si>
    <t>Costo patrulla con custodio</t>
  </si>
  <si>
    <t>Sacos</t>
  </si>
  <si>
    <t>Bolsa</t>
  </si>
  <si>
    <t>Comision Compra x qq</t>
  </si>
  <si>
    <t>No hay comprador</t>
  </si>
  <si>
    <t>COSTO DE ADQUISICION</t>
  </si>
  <si>
    <t>TRANSFORMACION</t>
  </si>
  <si>
    <t>Maquila</t>
  </si>
  <si>
    <t>TRANSFORMACIÓN</t>
  </si>
  <si>
    <t>CONTENEDOR DE 20'</t>
  </si>
  <si>
    <t>FIJOS</t>
  </si>
  <si>
    <t>GASTOS EXPORTACION</t>
  </si>
  <si>
    <t>Qtz x Kg</t>
  </si>
  <si>
    <t>Banco Industrial</t>
  </si>
  <si>
    <t>Banco BAM SWIFT</t>
  </si>
  <si>
    <t>Certificado de Origen</t>
  </si>
  <si>
    <t>Fitosanitario</t>
  </si>
  <si>
    <t>Fumigación</t>
  </si>
  <si>
    <t>Certificado de Peso y calidad</t>
  </si>
  <si>
    <t>Agente Aduanal</t>
  </si>
  <si>
    <t>Envío muestra Pre Embarque DHL</t>
  </si>
  <si>
    <t xml:space="preserve">Logistica </t>
  </si>
  <si>
    <t>MSC Naviera</t>
  </si>
  <si>
    <t>EXPORTACION</t>
  </si>
  <si>
    <t>VARIABLES POR KG</t>
  </si>
  <si>
    <t>250 Cajas Master MIG</t>
  </si>
  <si>
    <t>2000 Caja Inner MIG</t>
  </si>
  <si>
    <t>Fleje para cajas 40kg</t>
  </si>
  <si>
    <t>Ver con la maquila quien paga?</t>
  </si>
  <si>
    <t>Grapa de Fleje</t>
  </si>
  <si>
    <t>Grapa para caja</t>
  </si>
  <si>
    <t>2000 Bolsas negras 5gk</t>
  </si>
  <si>
    <t>Stickes cliente</t>
  </si>
  <si>
    <t>A pedido del cliente</t>
  </si>
  <si>
    <t>Sellos para Cajas 5kg</t>
  </si>
  <si>
    <t>Sellos para Cajas 40kg</t>
  </si>
  <si>
    <t>CONTENEDOR DE 40'</t>
  </si>
  <si>
    <t>500 Cajas Master MIG</t>
  </si>
  <si>
    <t>4000 Caja Inner MIG</t>
  </si>
  <si>
    <t>4600 Bolsas negras 5kg</t>
  </si>
  <si>
    <t>PRODUCTO</t>
  </si>
  <si>
    <t>APLICA</t>
  </si>
  <si>
    <t>BASE DE FACTURA</t>
  </si>
  <si>
    <t>1RAS</t>
  </si>
  <si>
    <t>1 = APLICA GASTO VARIABLE</t>
  </si>
  <si>
    <t>2DAS</t>
  </si>
  <si>
    <t>0 = NO APLICA</t>
  </si>
  <si>
    <t>3RAS</t>
  </si>
  <si>
    <t>VARIABLES S/FACTURA</t>
  </si>
  <si>
    <t>%</t>
  </si>
  <si>
    <t>MONTO FACT $</t>
  </si>
  <si>
    <t>COSTO VARIABLE</t>
  </si>
  <si>
    <t>Seguro de Carga  0.25%</t>
  </si>
  <si>
    <t>Banco BAM 0.15%</t>
  </si>
  <si>
    <t>BAM Gtos. De Cobranza 0.5%</t>
  </si>
  <si>
    <t>Comisión Venta 1%</t>
  </si>
  <si>
    <t>Agente 2%</t>
  </si>
  <si>
    <t>COSTA VARIABLE</t>
  </si>
  <si>
    <t>HONORARIOS:</t>
  </si>
  <si>
    <t>PUESTO</t>
  </si>
  <si>
    <t>NOMBRE</t>
  </si>
  <si>
    <t>MESES</t>
  </si>
  <si>
    <t>US$ x Mes</t>
  </si>
  <si>
    <t>TOTAL AÑO</t>
  </si>
  <si>
    <t>QTZ  x Mes</t>
  </si>
  <si>
    <t>QTZ  AÑO</t>
  </si>
  <si>
    <t>Gerente General</t>
  </si>
  <si>
    <t>Lic. José Herrera</t>
  </si>
  <si>
    <t>Control de calidad</t>
  </si>
  <si>
    <t>Gustavo</t>
  </si>
  <si>
    <t>Finanzas</t>
  </si>
  <si>
    <t>TCG Finanzas</t>
  </si>
  <si>
    <t>Fee mensual por contabilidad y analisis financieros</t>
  </si>
  <si>
    <t>Auditoria Externa</t>
  </si>
  <si>
    <t>Grant Tourton</t>
  </si>
  <si>
    <t>TRIP</t>
  </si>
  <si>
    <t>YELLOW (LG)</t>
  </si>
  <si>
    <t>TOTAL KILOS COMPRA</t>
  </si>
  <si>
    <t>Diferencia Merma</t>
  </si>
  <si>
    <t>Deprex</t>
  </si>
  <si>
    <t>Flete a Puerto</t>
  </si>
  <si>
    <t xml:space="preserve">Custodio a puerto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</si>
</sst>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Q&quot;* #,##0.00_-;\-&quot;Q&quot;* #,##0.00_-;_-&quot;Q&quot;* &quot;-&quot;??_-;_-@_-"/>
    <numFmt numFmtId="43" formatCode="_-* #,##0.00_-;\-* #,##0.00_-;_-* &quot;-&quot;??_-;_-@_-"/>
    <numFmt numFmtId="164" formatCode="&quot;$&quot;#,##0.00_);[Red]\(&quot;$&quot;#,##0.00\)"/>
    <numFmt numFmtId="165" formatCode="_-[$$-409]* #,##0.00_ ;_-[$$-409]* \-#,##0.00\ ;_-[$$-409]* &quot;-&quot;??_ ;_-@_ "/>
    <numFmt numFmtId="166" formatCode="_ [$$-300A]* #,##0.00_ ;_ [$$-300A]* \-#,##0.00_ ;_ [$$-300A]* &quot;-&quot;??_ ;_ @_ "/>
    <numFmt numFmtId="167" formatCode="_-&quot;Q&quot;* #,##0.000_-;\-&quot;Q&quot;* #,##0.000_-;_-&quot;Q&quot;* &quot;-&quot;??_-;_-@_-"/>
    <numFmt numFmtId="168" formatCode="_ [$$-300A]* #,##0.0000_ ;_ [$$-300A]* \-#,##0.0000_ ;_ [$$-300A]* &quot;-&quot;??_ ;_ @_ "/>
    <numFmt numFmtId="169" formatCode="_-* #,##0_-;\-* #,##0_-;_-* &quot;-&quot;??_-;_-@_-"/>
    <numFmt numFmtId="170" formatCode="_-[$$-45C]* #,##0.00_-;\-[$$-45C]* #,##0.00_-;_-[$$-45C]* &quot;-&quot;??_-;_-@_-"/>
    <numFmt numFmtId="171" formatCode="0.0%"/>
    <numFmt numFmtId="172" formatCode="_-[$$-45C]* #,##0.0000_-;\-[$$-45C]* #,##0.0000_-;_-[$$-45C]* &quot;-&quot;??_-;_-@_-"/>
    <numFmt numFmtId="173" formatCode="_-[$Q-100A]* #,##0.00_-;\-[$Q-100A]* #,##0.00_-;_-[$Q-100A]* &quot;-&quot;??_-;_-@_-"/>
    <numFmt numFmtId="174" formatCode="_-* #,##0.0_-;\-* #,##0.0_-;_-* &quot;-&quot;??_-;_-@_-"/>
    <numFmt numFmtId="175" formatCode="0.0000"/>
  </numFmts>
  <fonts count="28" x14ac:knownFonts="1"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0"/>
      </left>
      <right style="medium">
        <color indexed="0"/>
      </right>
      <top style="medium">
        <color indexed="0"/>
      </top>
      <bottom/>
      <diagonal/>
    </border>
    <border>
      <left style="medium">
        <color indexed="0"/>
      </left>
      <right style="medium">
        <color indexed="0"/>
      </right>
      <top/>
      <bottom style="medium">
        <color indexed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30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1" applyNumberFormat="1" applyFont="1" applyAlignment="1">
      <alignment horizontal="center"/>
    </xf>
    <xf numFmtId="165" fontId="0" fillId="0" borderId="0" xfId="1" applyNumberFormat="1" applyFont="1"/>
    <xf numFmtId="44" fontId="0" fillId="0" borderId="0" xfId="2" applyFont="1"/>
    <xf numFmtId="165" fontId="0" fillId="0" borderId="0" xfId="0" applyNumberFormat="1"/>
    <xf numFmtId="44" fontId="0" fillId="0" borderId="0" xfId="0" applyNumberFormat="1"/>
    <xf numFmtId="43" fontId="0" fillId="0" borderId="0" xfId="1" applyFont="1"/>
    <xf numFmtId="0" fontId="0" fillId="0" borderId="1" xfId="0" applyBorder="1"/>
    <xf numFmtId="0" fontId="2" fillId="0" borderId="0" xfId="0" applyFont="1"/>
    <xf numFmtId="0" fontId="3" fillId="0" borderId="0" xfId="0" applyFont="1"/>
    <xf numFmtId="166" fontId="3" fillId="0" borderId="0" xfId="0" applyNumberFormat="1" applyFont="1"/>
    <xf numFmtId="0" fontId="4" fillId="0" borderId="2" xfId="0" applyFont="1" applyBorder="1" applyAlignment="1">
      <alignment horizontal="center"/>
    </xf>
    <xf numFmtId="10" fontId="4" fillId="0" borderId="3" xfId="0" applyNumberFormat="1" applyFont="1" applyBorder="1" applyAlignment="1">
      <alignment horizontal="center"/>
    </xf>
    <xf numFmtId="166" fontId="4" fillId="0" borderId="3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0" fontId="3" fillId="0" borderId="5" xfId="0" applyFont="1" applyBorder="1"/>
    <xf numFmtId="166" fontId="3" fillId="0" borderId="5" xfId="0" applyNumberFormat="1" applyFont="1" applyBorder="1"/>
    <xf numFmtId="0" fontId="3" fillId="0" borderId="6" xfId="0" applyFont="1" applyBorder="1"/>
    <xf numFmtId="166" fontId="3" fillId="0" borderId="6" xfId="0" applyNumberFormat="1" applyFont="1" applyBorder="1"/>
    <xf numFmtId="166" fontId="3" fillId="3" borderId="6" xfId="0" applyNumberFormat="1" applyFont="1" applyFill="1" applyBorder="1"/>
    <xf numFmtId="166" fontId="3" fillId="4" borderId="6" xfId="0" applyNumberFormat="1" applyFont="1" applyFill="1" applyBorder="1"/>
    <xf numFmtId="0" fontId="4" fillId="0" borderId="6" xfId="0" applyFont="1" applyBorder="1" applyAlignment="1">
      <alignment horizontal="center"/>
    </xf>
    <xf numFmtId="10" fontId="4" fillId="0" borderId="6" xfId="0" applyNumberFormat="1" applyFont="1" applyBorder="1"/>
    <xf numFmtId="166" fontId="4" fillId="0" borderId="6" xfId="0" applyNumberFormat="1" applyFont="1" applyBorder="1"/>
    <xf numFmtId="0" fontId="5" fillId="0" borderId="0" xfId="0" applyFont="1"/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166" fontId="3" fillId="0" borderId="7" xfId="0" applyNumberFormat="1" applyFont="1" applyBorder="1"/>
    <xf numFmtId="0" fontId="3" fillId="0" borderId="8" xfId="0" applyFont="1" applyBorder="1"/>
    <xf numFmtId="44" fontId="3" fillId="0" borderId="9" xfId="0" applyNumberFormat="1" applyFont="1" applyBorder="1"/>
    <xf numFmtId="166" fontId="3" fillId="2" borderId="9" xfId="0" applyNumberFormat="1" applyFont="1" applyFill="1" applyBorder="1"/>
    <xf numFmtId="43" fontId="3" fillId="0" borderId="9" xfId="1" applyFont="1" applyFill="1" applyBorder="1"/>
    <xf numFmtId="167" fontId="3" fillId="0" borderId="6" xfId="2" applyNumberFormat="1" applyFont="1" applyFill="1" applyBorder="1"/>
    <xf numFmtId="168" fontId="3" fillId="0" borderId="6" xfId="0" applyNumberFormat="1" applyFont="1" applyBorder="1"/>
    <xf numFmtId="166" fontId="3" fillId="3" borderId="9" xfId="0" applyNumberFormat="1" applyFont="1" applyFill="1" applyBorder="1"/>
    <xf numFmtId="166" fontId="3" fillId="5" borderId="9" xfId="0" applyNumberFormat="1" applyFont="1" applyFill="1" applyBorder="1"/>
    <xf numFmtId="0" fontId="3" fillId="6" borderId="2" xfId="0" applyFont="1" applyFill="1" applyBorder="1"/>
    <xf numFmtId="44" fontId="3" fillId="6" borderId="10" xfId="0" applyNumberFormat="1" applyFont="1" applyFill="1" applyBorder="1"/>
    <xf numFmtId="43" fontId="3" fillId="6" borderId="10" xfId="0" applyNumberFormat="1" applyFont="1" applyFill="1" applyBorder="1"/>
    <xf numFmtId="43" fontId="3" fillId="6" borderId="10" xfId="1" applyFont="1" applyFill="1" applyBorder="1"/>
    <xf numFmtId="167" fontId="3" fillId="6" borderId="3" xfId="2" applyNumberFormat="1" applyFont="1" applyFill="1" applyBorder="1"/>
    <xf numFmtId="168" fontId="2" fillId="6" borderId="4" xfId="0" applyNumberFormat="1" applyFont="1" applyFill="1" applyBorder="1"/>
    <xf numFmtId="44" fontId="3" fillId="0" borderId="6" xfId="2" applyFont="1" applyFill="1" applyBorder="1"/>
    <xf numFmtId="44" fontId="3" fillId="6" borderId="3" xfId="2" applyFont="1" applyFill="1" applyBorder="1"/>
    <xf numFmtId="44" fontId="3" fillId="0" borderId="0" xfId="2" applyFont="1"/>
    <xf numFmtId="0" fontId="3" fillId="0" borderId="2" xfId="0" applyFont="1" applyBorder="1"/>
    <xf numFmtId="44" fontId="3" fillId="0" borderId="10" xfId="0" applyNumberFormat="1" applyFont="1" applyBorder="1"/>
    <xf numFmtId="43" fontId="3" fillId="0" borderId="10" xfId="0" applyNumberFormat="1" applyFont="1" applyBorder="1"/>
    <xf numFmtId="43" fontId="3" fillId="0" borderId="10" xfId="1" applyFont="1" applyFill="1" applyBorder="1"/>
    <xf numFmtId="44" fontId="3" fillId="0" borderId="3" xfId="2" applyFont="1" applyFill="1" applyBorder="1"/>
    <xf numFmtId="169" fontId="5" fillId="0" borderId="0" xfId="1" applyNumberFormat="1" applyFont="1"/>
    <xf numFmtId="169" fontId="3" fillId="0" borderId="0" xfId="1" applyNumberFormat="1" applyFont="1"/>
    <xf numFmtId="166" fontId="5" fillId="0" borderId="0" xfId="0" applyNumberFormat="1" applyFont="1"/>
    <xf numFmtId="44" fontId="3" fillId="0" borderId="7" xfId="2" applyFont="1" applyFill="1" applyBorder="1"/>
    <xf numFmtId="44" fontId="3" fillId="0" borderId="0" xfId="2" applyFont="1" applyFill="1"/>
    <xf numFmtId="43" fontId="3" fillId="2" borderId="10" xfId="0" applyNumberFormat="1" applyFont="1" applyFill="1" applyBorder="1"/>
    <xf numFmtId="9" fontId="3" fillId="0" borderId="0" xfId="3" applyFont="1" applyFill="1"/>
    <xf numFmtId="0" fontId="5" fillId="0" borderId="7" xfId="0" applyFont="1" applyBorder="1"/>
    <xf numFmtId="44" fontId="6" fillId="0" borderId="9" xfId="0" applyNumberFormat="1" applyFont="1" applyBorder="1"/>
    <xf numFmtId="166" fontId="3" fillId="0" borderId="9" xfId="0" applyNumberFormat="1" applyFont="1" applyBorder="1"/>
    <xf numFmtId="44" fontId="3" fillId="3" borderId="6" xfId="2" applyFont="1" applyFill="1" applyBorder="1"/>
    <xf numFmtId="170" fontId="3" fillId="0" borderId="6" xfId="0" applyNumberFormat="1" applyFont="1" applyBorder="1"/>
    <xf numFmtId="170" fontId="5" fillId="0" borderId="6" xfId="0" applyNumberFormat="1" applyFont="1" applyBorder="1"/>
    <xf numFmtId="44" fontId="3" fillId="2" borderId="6" xfId="2" applyFont="1" applyFill="1" applyBorder="1"/>
    <xf numFmtId="44" fontId="6" fillId="6" borderId="10" xfId="0" applyNumberFormat="1" applyFont="1" applyFill="1" applyBorder="1"/>
    <xf numFmtId="166" fontId="3" fillId="6" borderId="10" xfId="0" applyNumberFormat="1" applyFont="1" applyFill="1" applyBorder="1"/>
    <xf numFmtId="170" fontId="3" fillId="6" borderId="4" xfId="0" applyNumberFormat="1" applyFont="1" applyFill="1" applyBorder="1"/>
    <xf numFmtId="170" fontId="5" fillId="6" borderId="4" xfId="0" applyNumberFormat="1" applyFont="1" applyFill="1" applyBorder="1"/>
    <xf numFmtId="10" fontId="3" fillId="0" borderId="0" xfId="3" applyNumberFormat="1" applyFont="1" applyFill="1"/>
    <xf numFmtId="0" fontId="3" fillId="0" borderId="11" xfId="0" applyFont="1" applyBorder="1"/>
    <xf numFmtId="0" fontId="3" fillId="0" borderId="12" xfId="0" applyFont="1" applyBorder="1"/>
    <xf numFmtId="10" fontId="0" fillId="0" borderId="0" xfId="0" applyNumberFormat="1"/>
    <xf numFmtId="43" fontId="0" fillId="0" borderId="0" xfId="0" applyNumberFormat="1"/>
    <xf numFmtId="9" fontId="3" fillId="0" borderId="0" xfId="3" applyFont="1"/>
    <xf numFmtId="0" fontId="7" fillId="0" borderId="0" xfId="0" applyFont="1"/>
    <xf numFmtId="14" fontId="8" fillId="0" borderId="0" xfId="0" applyNumberFormat="1" applyFont="1"/>
    <xf numFmtId="0" fontId="9" fillId="0" borderId="0" xfId="0" applyFont="1"/>
    <xf numFmtId="43" fontId="3" fillId="0" borderId="0" xfId="1" applyFont="1"/>
    <xf numFmtId="0" fontId="10" fillId="5" borderId="14" xfId="0" applyFont="1" applyFill="1" applyBorder="1"/>
    <xf numFmtId="171" fontId="11" fillId="5" borderId="15" xfId="0" applyNumberFormat="1" applyFont="1" applyFill="1" applyBorder="1"/>
    <xf numFmtId="170" fontId="11" fillId="5" borderId="16" xfId="3" applyNumberFormat="1" applyFont="1" applyFill="1" applyBorder="1"/>
    <xf numFmtId="169" fontId="3" fillId="0" borderId="0" xfId="1" applyNumberFormat="1" applyFont="1" applyBorder="1"/>
    <xf numFmtId="0" fontId="5" fillId="0" borderId="0" xfId="0" applyFont="1" applyAlignment="1">
      <alignment horizontal="center"/>
    </xf>
    <xf numFmtId="0" fontId="12" fillId="0" borderId="0" xfId="0" applyFont="1"/>
    <xf numFmtId="43" fontId="13" fillId="0" borderId="0" xfId="1" applyFont="1" applyAlignment="1">
      <alignment horizontal="center"/>
    </xf>
    <xf numFmtId="0" fontId="14" fillId="0" borderId="6" xfId="0" applyFont="1" applyBorder="1" applyAlignment="1">
      <alignment horizontal="center"/>
    </xf>
    <xf numFmtId="43" fontId="15" fillId="7" borderId="6" xfId="1" applyFont="1" applyFill="1" applyBorder="1" applyAlignment="1">
      <alignment horizontal="center"/>
    </xf>
    <xf numFmtId="44" fontId="16" fillId="7" borderId="6" xfId="2" applyFont="1" applyFill="1" applyBorder="1" applyAlignment="1">
      <alignment horizontal="center"/>
    </xf>
    <xf numFmtId="44" fontId="14" fillId="0" borderId="6" xfId="2" applyFont="1" applyFill="1" applyBorder="1" applyAlignment="1">
      <alignment horizontal="center"/>
    </xf>
    <xf numFmtId="43" fontId="14" fillId="0" borderId="6" xfId="1" applyFont="1" applyFill="1" applyBorder="1" applyAlignment="1">
      <alignment horizontal="center"/>
    </xf>
    <xf numFmtId="169" fontId="14" fillId="0" borderId="6" xfId="1" applyNumberFormat="1" applyFont="1" applyFill="1" applyBorder="1" applyAlignment="1">
      <alignment horizontal="center"/>
    </xf>
    <xf numFmtId="165" fontId="3" fillId="0" borderId="0" xfId="0" applyNumberFormat="1" applyFont="1"/>
    <xf numFmtId="0" fontId="4" fillId="8" borderId="7" xfId="0" applyFont="1" applyFill="1" applyBorder="1" applyAlignment="1">
      <alignment horizontal="right"/>
    </xf>
    <xf numFmtId="0" fontId="4" fillId="8" borderId="14" xfId="0" applyFont="1" applyFill="1" applyBorder="1"/>
    <xf numFmtId="0" fontId="4" fillId="8" borderId="14" xfId="0" applyFont="1" applyFill="1" applyBorder="1" applyAlignment="1">
      <alignment horizontal="center"/>
    </xf>
    <xf numFmtId="0" fontId="4" fillId="8" borderId="7" xfId="0" applyFont="1" applyFill="1" applyBorder="1"/>
    <xf numFmtId="0" fontId="4" fillId="8" borderId="7" xfId="0" applyFont="1" applyFill="1" applyBorder="1" applyAlignment="1">
      <alignment horizontal="center"/>
    </xf>
    <xf numFmtId="9" fontId="3" fillId="9" borderId="5" xfId="3" applyFont="1" applyFill="1" applyBorder="1"/>
    <xf numFmtId="9" fontId="3" fillId="9" borderId="18" xfId="3" applyFont="1" applyFill="1" applyBorder="1"/>
    <xf numFmtId="9" fontId="16" fillId="7" borderId="5" xfId="3" applyFont="1" applyFill="1" applyBorder="1"/>
    <xf numFmtId="169" fontId="3" fillId="9" borderId="5" xfId="1" applyNumberFormat="1" applyFont="1" applyFill="1" applyBorder="1"/>
    <xf numFmtId="170" fontId="16" fillId="7" borderId="5" xfId="0" applyNumberFormat="1" applyFont="1" applyFill="1" applyBorder="1"/>
    <xf numFmtId="9" fontId="3" fillId="9" borderId="6" xfId="3" applyFont="1" applyFill="1" applyBorder="1"/>
    <xf numFmtId="9" fontId="3" fillId="9" borderId="9" xfId="3" applyFont="1" applyFill="1" applyBorder="1"/>
    <xf numFmtId="9" fontId="16" fillId="7" borderId="6" xfId="3" applyFont="1" applyFill="1" applyBorder="1"/>
    <xf numFmtId="169" fontId="3" fillId="9" borderId="6" xfId="1" applyNumberFormat="1" applyFont="1" applyFill="1" applyBorder="1"/>
    <xf numFmtId="170" fontId="16" fillId="10" borderId="6" xfId="0" applyNumberFormat="1" applyFont="1" applyFill="1" applyBorder="1"/>
    <xf numFmtId="169" fontId="3" fillId="9" borderId="13" xfId="1" applyNumberFormat="1" applyFont="1" applyFill="1" applyBorder="1"/>
    <xf numFmtId="170" fontId="16" fillId="10" borderId="13" xfId="0" applyNumberFormat="1" applyFont="1" applyFill="1" applyBorder="1"/>
    <xf numFmtId="9" fontId="3" fillId="0" borderId="0" xfId="3" applyFont="1" applyFill="1" applyBorder="1"/>
    <xf numFmtId="169" fontId="3" fillId="8" borderId="2" xfId="1" applyNumberFormat="1" applyFont="1" applyFill="1" applyBorder="1"/>
    <xf numFmtId="170" fontId="4" fillId="8" borderId="4" xfId="0" applyNumberFormat="1" applyFont="1" applyFill="1" applyBorder="1"/>
    <xf numFmtId="0" fontId="3" fillId="9" borderId="19" xfId="0" applyFont="1" applyFill="1" applyBorder="1"/>
    <xf numFmtId="170" fontId="4" fillId="2" borderId="7" xfId="0" applyNumberFormat="1" applyFont="1" applyFill="1" applyBorder="1" applyAlignment="1">
      <alignment vertical="center"/>
    </xf>
    <xf numFmtId="169" fontId="3" fillId="2" borderId="7" xfId="3" applyNumberFormat="1" applyFont="1" applyFill="1" applyBorder="1"/>
    <xf numFmtId="9" fontId="3" fillId="11" borderId="6" xfId="3" applyFont="1" applyFill="1" applyBorder="1"/>
    <xf numFmtId="171" fontId="16" fillId="7" borderId="6" xfId="3" applyNumberFormat="1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 vertical="center"/>
    </xf>
    <xf numFmtId="0" fontId="3" fillId="13" borderId="5" xfId="0" applyFont="1" applyFill="1" applyBorder="1"/>
    <xf numFmtId="169" fontId="3" fillId="11" borderId="6" xfId="1" applyNumberFormat="1" applyFont="1" applyFill="1" applyBorder="1"/>
    <xf numFmtId="0" fontId="3" fillId="12" borderId="6" xfId="0" applyFont="1" applyFill="1" applyBorder="1" applyAlignment="1">
      <alignment horizontal="center" vertical="center"/>
    </xf>
    <xf numFmtId="0" fontId="3" fillId="13" borderId="6" xfId="0" applyFont="1" applyFill="1" applyBorder="1"/>
    <xf numFmtId="0" fontId="3" fillId="11" borderId="6" xfId="0" applyFont="1" applyFill="1" applyBorder="1" applyAlignment="1">
      <alignment horizontal="center" vertical="center"/>
    </xf>
    <xf numFmtId="9" fontId="3" fillId="0" borderId="0" xfId="3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69" fontId="3" fillId="0" borderId="0" xfId="3" applyNumberFormat="1" applyFont="1" applyFill="1" applyBorder="1"/>
    <xf numFmtId="171" fontId="3" fillId="0" borderId="0" xfId="3" applyNumberFormat="1" applyFont="1" applyFill="1" applyBorder="1"/>
    <xf numFmtId="169" fontId="3" fillId="8" borderId="3" xfId="1" applyNumberFormat="1" applyFont="1" applyFill="1" applyBorder="1"/>
    <xf numFmtId="9" fontId="3" fillId="8" borderId="7" xfId="0" applyNumberFormat="1" applyFont="1" applyFill="1" applyBorder="1"/>
    <xf numFmtId="9" fontId="3" fillId="8" borderId="7" xfId="3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 vertical="center"/>
    </xf>
    <xf numFmtId="0" fontId="3" fillId="8" borderId="7" xfId="0" applyFont="1" applyFill="1" applyBorder="1"/>
    <xf numFmtId="169" fontId="3" fillId="8" borderId="7" xfId="0" applyNumberFormat="1" applyFont="1" applyFill="1" applyBorder="1"/>
    <xf numFmtId="9" fontId="4" fillId="0" borderId="0" xfId="3" applyFont="1" applyFill="1"/>
    <xf numFmtId="169" fontId="3" fillId="0" borderId="0" xfId="1" applyNumberFormat="1" applyFont="1" applyFill="1"/>
    <xf numFmtId="170" fontId="3" fillId="0" borderId="0" xfId="0" applyNumberFormat="1" applyFont="1"/>
    <xf numFmtId="0" fontId="3" fillId="0" borderId="21" xfId="0" applyFont="1" applyBorder="1" applyAlignment="1">
      <alignment horizontal="right"/>
    </xf>
    <xf numFmtId="0" fontId="3" fillId="0" borderId="9" xfId="0" applyFont="1" applyBorder="1"/>
    <xf numFmtId="169" fontId="3" fillId="0" borderId="6" xfId="1" applyNumberFormat="1" applyFont="1" applyFill="1" applyBorder="1"/>
    <xf numFmtId="172" fontId="4" fillId="14" borderId="4" xfId="0" applyNumberFormat="1" applyFont="1" applyFill="1" applyBorder="1"/>
    <xf numFmtId="0" fontId="3" fillId="0" borderId="0" xfId="0" applyFont="1" applyAlignment="1">
      <alignment horizontal="right"/>
    </xf>
    <xf numFmtId="172" fontId="3" fillId="0" borderId="0" xfId="3" applyNumberFormat="1" applyFont="1" applyFill="1"/>
    <xf numFmtId="0" fontId="10" fillId="0" borderId="14" xfId="0" applyFont="1" applyBorder="1" applyAlignment="1">
      <alignment horizontal="right"/>
    </xf>
    <xf numFmtId="0" fontId="10" fillId="0" borderId="10" xfId="0" applyFont="1" applyBorder="1"/>
    <xf numFmtId="169" fontId="10" fillId="0" borderId="3" xfId="1" applyNumberFormat="1" applyFont="1" applyFill="1" applyBorder="1"/>
    <xf numFmtId="172" fontId="10" fillId="15" borderId="4" xfId="0" applyNumberFormat="1" applyFont="1" applyFill="1" applyBorder="1"/>
    <xf numFmtId="0" fontId="5" fillId="0" borderId="0" xfId="0" applyFont="1" applyAlignment="1">
      <alignment horizontal="right"/>
    </xf>
    <xf numFmtId="0" fontId="17" fillId="0" borderId="21" xfId="0" applyFont="1" applyBorder="1" applyAlignment="1">
      <alignment horizontal="right"/>
    </xf>
    <xf numFmtId="0" fontId="17" fillId="0" borderId="9" xfId="0" applyFont="1" applyBorder="1"/>
    <xf numFmtId="169" fontId="17" fillId="0" borderId="6" xfId="1" applyNumberFormat="1" applyFont="1" applyFill="1" applyBorder="1"/>
    <xf numFmtId="172" fontId="18" fillId="15" borderId="6" xfId="0" applyNumberFormat="1" applyFont="1" applyFill="1" applyBorder="1"/>
    <xf numFmtId="172" fontId="5" fillId="0" borderId="0" xfId="3" applyNumberFormat="1" applyFont="1" applyFill="1"/>
    <xf numFmtId="0" fontId="3" fillId="0" borderId="14" xfId="0" applyFont="1" applyBorder="1" applyAlignment="1">
      <alignment horizontal="right"/>
    </xf>
    <xf numFmtId="0" fontId="3" fillId="0" borderId="10" xfId="0" applyFont="1" applyBorder="1"/>
    <xf numFmtId="169" fontId="5" fillId="0" borderId="3" xfId="1" applyNumberFormat="1" applyFont="1" applyFill="1" applyBorder="1"/>
    <xf numFmtId="172" fontId="2" fillId="0" borderId="4" xfId="0" applyNumberFormat="1" applyFont="1" applyBorder="1"/>
    <xf numFmtId="0" fontId="19" fillId="0" borderId="14" xfId="0" applyFont="1" applyBorder="1" applyAlignment="1">
      <alignment horizontal="right"/>
    </xf>
    <xf numFmtId="0" fontId="19" fillId="0" borderId="10" xfId="0" applyFont="1" applyBorder="1"/>
    <xf numFmtId="169" fontId="19" fillId="0" borderId="3" xfId="1" applyNumberFormat="1" applyFont="1" applyFill="1" applyBorder="1"/>
    <xf numFmtId="172" fontId="19" fillId="15" borderId="4" xfId="0" applyNumberFormat="1" applyFont="1" applyFill="1" applyBorder="1"/>
    <xf numFmtId="169" fontId="13" fillId="0" borderId="6" xfId="1" applyNumberFormat="1" applyFont="1" applyFill="1" applyBorder="1"/>
    <xf numFmtId="0" fontId="11" fillId="0" borderId="14" xfId="0" applyFont="1" applyBorder="1" applyAlignment="1">
      <alignment horizontal="right"/>
    </xf>
    <xf numFmtId="172" fontId="3" fillId="0" borderId="0" xfId="3" applyNumberFormat="1" applyFont="1"/>
    <xf numFmtId="0" fontId="11" fillId="4" borderId="14" xfId="0" applyFont="1" applyFill="1" applyBorder="1" applyAlignment="1">
      <alignment horizontal="right"/>
    </xf>
    <xf numFmtId="0" fontId="11" fillId="4" borderId="10" xfId="0" applyFont="1" applyFill="1" applyBorder="1"/>
    <xf numFmtId="169" fontId="11" fillId="4" borderId="3" xfId="1" applyNumberFormat="1" applyFont="1" applyFill="1" applyBorder="1"/>
    <xf numFmtId="172" fontId="11" fillId="4" borderId="4" xfId="0" applyNumberFormat="1" applyFont="1" applyFill="1" applyBorder="1"/>
    <xf numFmtId="0" fontId="13" fillId="0" borderId="21" xfId="0" applyFont="1" applyBorder="1" applyAlignment="1">
      <alignment horizontal="right"/>
    </xf>
    <xf numFmtId="0" fontId="13" fillId="0" borderId="9" xfId="0" applyFont="1" applyBorder="1"/>
    <xf numFmtId="0" fontId="19" fillId="5" borderId="14" xfId="0" applyFont="1" applyFill="1" applyBorder="1" applyAlignment="1">
      <alignment horizontal="right"/>
    </xf>
    <xf numFmtId="0" fontId="19" fillId="5" borderId="10" xfId="0" applyFont="1" applyFill="1" applyBorder="1"/>
    <xf numFmtId="169" fontId="19" fillId="5" borderId="3" xfId="1" applyNumberFormat="1" applyFont="1" applyFill="1" applyBorder="1"/>
    <xf numFmtId="172" fontId="19" fillId="5" borderId="4" xfId="0" applyNumberFormat="1" applyFont="1" applyFill="1" applyBorder="1"/>
    <xf numFmtId="2" fontId="3" fillId="0" borderId="0" xfId="0" applyNumberFormat="1" applyFont="1"/>
    <xf numFmtId="0" fontId="4" fillId="14" borderId="22" xfId="0" applyFont="1" applyFill="1" applyBorder="1" applyAlignment="1">
      <alignment horizontal="center"/>
    </xf>
    <xf numFmtId="0" fontId="4" fillId="14" borderId="23" xfId="0" applyFont="1" applyFill="1" applyBorder="1" applyAlignment="1">
      <alignment horizontal="center"/>
    </xf>
    <xf numFmtId="173" fontId="11" fillId="12" borderId="16" xfId="3" applyNumberFormat="1" applyFont="1" applyFill="1" applyBorder="1"/>
    <xf numFmtId="0" fontId="3" fillId="16" borderId="0" xfId="0" applyFont="1" applyFill="1"/>
    <xf numFmtId="0" fontId="20" fillId="16" borderId="0" xfId="0" applyFont="1" applyFill="1"/>
    <xf numFmtId="0" fontId="3" fillId="16" borderId="0" xfId="0" applyFont="1" applyFill="1" applyAlignment="1">
      <alignment horizontal="centerContinuous"/>
    </xf>
    <xf numFmtId="0" fontId="16" fillId="7" borderId="6" xfId="0" applyFont="1" applyFill="1" applyBorder="1" applyAlignment="1">
      <alignment horizontal="center"/>
    </xf>
    <xf numFmtId="169" fontId="3" fillId="6" borderId="6" xfId="1" applyNumberFormat="1" applyFont="1" applyFill="1" applyBorder="1"/>
    <xf numFmtId="0" fontId="16" fillId="7" borderId="13" xfId="0" applyFont="1" applyFill="1" applyBorder="1" applyAlignment="1">
      <alignment horizontal="center"/>
    </xf>
    <xf numFmtId="169" fontId="3" fillId="6" borderId="13" xfId="1" applyNumberFormat="1" applyFont="1" applyFill="1" applyBorder="1"/>
    <xf numFmtId="166" fontId="14" fillId="0" borderId="6" xfId="1" applyNumberFormat="1" applyFont="1" applyFill="1" applyBorder="1" applyAlignment="1">
      <alignment horizontal="center"/>
    </xf>
    <xf numFmtId="0" fontId="4" fillId="16" borderId="0" xfId="0" applyFont="1" applyFill="1" applyAlignment="1">
      <alignment horizontal="centerContinuous"/>
    </xf>
    <xf numFmtId="0" fontId="8" fillId="16" borderId="7" xfId="0" applyFont="1" applyFill="1" applyBorder="1" applyAlignment="1">
      <alignment horizontal="center"/>
    </xf>
    <xf numFmtId="169" fontId="4" fillId="16" borderId="7" xfId="1" applyNumberFormat="1" applyFont="1" applyFill="1" applyBorder="1"/>
    <xf numFmtId="43" fontId="4" fillId="8" borderId="7" xfId="1" applyFont="1" applyFill="1" applyBorder="1" applyAlignment="1">
      <alignment horizontal="center"/>
    </xf>
    <xf numFmtId="171" fontId="4" fillId="8" borderId="7" xfId="3" applyNumberFormat="1" applyFont="1" applyFill="1" applyBorder="1" applyAlignment="1">
      <alignment horizontal="center"/>
    </xf>
    <xf numFmtId="0" fontId="4" fillId="8" borderId="6" xfId="0" applyFont="1" applyFill="1" applyBorder="1"/>
    <xf numFmtId="44" fontId="4" fillId="8" borderId="6" xfId="2" applyFont="1" applyFill="1" applyBorder="1"/>
    <xf numFmtId="170" fontId="4" fillId="4" borderId="5" xfId="0" applyNumberFormat="1" applyFont="1" applyFill="1" applyBorder="1"/>
    <xf numFmtId="44" fontId="4" fillId="0" borderId="5" xfId="2" applyFont="1" applyFill="1" applyBorder="1"/>
    <xf numFmtId="171" fontId="4" fillId="0" borderId="5" xfId="3" applyNumberFormat="1" applyFont="1" applyFill="1" applyBorder="1"/>
    <xf numFmtId="174" fontId="3" fillId="0" borderId="0" xfId="1" applyNumberFormat="1" applyFont="1"/>
    <xf numFmtId="169" fontId="3" fillId="0" borderId="6" xfId="1" applyNumberFormat="1" applyFont="1" applyBorder="1"/>
    <xf numFmtId="44" fontId="3" fillId="0" borderId="6" xfId="2" applyFont="1" applyBorder="1"/>
    <xf numFmtId="170" fontId="4" fillId="4" borderId="6" xfId="0" applyNumberFormat="1" applyFont="1" applyFill="1" applyBorder="1"/>
    <xf numFmtId="44" fontId="4" fillId="0" borderId="6" xfId="2" applyFont="1" applyFill="1" applyBorder="1"/>
    <xf numFmtId="171" fontId="4" fillId="0" borderId="6" xfId="3" applyNumberFormat="1" applyFont="1" applyFill="1" applyBorder="1"/>
    <xf numFmtId="170" fontId="4" fillId="4" borderId="13" xfId="0" applyNumberFormat="1" applyFont="1" applyFill="1" applyBorder="1"/>
    <xf numFmtId="169" fontId="3" fillId="0" borderId="13" xfId="1" applyNumberFormat="1" applyFont="1" applyBorder="1"/>
    <xf numFmtId="44" fontId="3" fillId="0" borderId="13" xfId="2" applyFont="1" applyBorder="1"/>
    <xf numFmtId="44" fontId="4" fillId="8" borderId="4" xfId="2" applyFont="1" applyFill="1" applyBorder="1"/>
    <xf numFmtId="171" fontId="4" fillId="8" borderId="4" xfId="3" applyNumberFormat="1" applyFont="1" applyFill="1" applyBorder="1"/>
    <xf numFmtId="169" fontId="3" fillId="0" borderId="5" xfId="1" applyNumberFormat="1" applyFont="1" applyBorder="1"/>
    <xf numFmtId="44" fontId="3" fillId="0" borderId="5" xfId="2" applyFont="1" applyBorder="1"/>
    <xf numFmtId="171" fontId="4" fillId="8" borderId="6" xfId="3" applyNumberFormat="1" applyFont="1" applyFill="1" applyBorder="1"/>
    <xf numFmtId="170" fontId="4" fillId="8" borderId="3" xfId="0" applyNumberFormat="1" applyFont="1" applyFill="1" applyBorder="1"/>
    <xf numFmtId="169" fontId="4" fillId="8" borderId="7" xfId="0" applyNumberFormat="1" applyFont="1" applyFill="1" applyBorder="1"/>
    <xf numFmtId="170" fontId="4" fillId="0" borderId="6" xfId="0" applyNumberFormat="1" applyFont="1" applyBorder="1"/>
    <xf numFmtId="170" fontId="10" fillId="0" borderId="3" xfId="0" applyNumberFormat="1" applyFont="1" applyBorder="1"/>
    <xf numFmtId="44" fontId="10" fillId="0" borderId="4" xfId="2" applyFont="1" applyFill="1" applyBorder="1"/>
    <xf numFmtId="171" fontId="10" fillId="0" borderId="6" xfId="3" applyNumberFormat="1" applyFont="1" applyFill="1" applyBorder="1"/>
    <xf numFmtId="170" fontId="21" fillId="0" borderId="9" xfId="0" applyNumberFormat="1" applyFont="1" applyBorder="1"/>
    <xf numFmtId="44" fontId="21" fillId="0" borderId="6" xfId="2" applyFont="1" applyFill="1" applyBorder="1"/>
    <xf numFmtId="171" fontId="21" fillId="0" borderId="6" xfId="3" applyNumberFormat="1" applyFont="1" applyFill="1" applyBorder="1"/>
    <xf numFmtId="171" fontId="22" fillId="0" borderId="6" xfId="0" applyNumberFormat="1" applyFont="1" applyBorder="1" applyAlignment="1">
      <alignment horizontal="center" vertical="center"/>
    </xf>
    <xf numFmtId="171" fontId="6" fillId="0" borderId="0" xfId="0" applyNumberFormat="1" applyFont="1" applyAlignment="1">
      <alignment vertical="center"/>
    </xf>
    <xf numFmtId="170" fontId="2" fillId="0" borderId="3" xfId="0" applyNumberFormat="1" applyFont="1" applyBorder="1"/>
    <xf numFmtId="44" fontId="2" fillId="0" borderId="3" xfId="2" applyFont="1" applyFill="1" applyBorder="1"/>
    <xf numFmtId="171" fontId="2" fillId="0" borderId="25" xfId="3" applyNumberFormat="1" applyFont="1" applyFill="1" applyBorder="1"/>
    <xf numFmtId="170" fontId="9" fillId="0" borderId="3" xfId="0" applyNumberFormat="1" applyFont="1" applyBorder="1"/>
    <xf numFmtId="44" fontId="19" fillId="0" borderId="3" xfId="2" applyFont="1" applyFill="1" applyBorder="1"/>
    <xf numFmtId="171" fontId="19" fillId="0" borderId="25" xfId="3" applyNumberFormat="1" applyFont="1" applyFill="1" applyBorder="1"/>
    <xf numFmtId="0" fontId="4" fillId="0" borderId="0" xfId="0" applyFont="1"/>
    <xf numFmtId="0" fontId="4" fillId="0" borderId="6" xfId="0" applyFont="1" applyBorder="1"/>
    <xf numFmtId="0" fontId="21" fillId="0" borderId="6" xfId="0" applyFont="1" applyBorder="1"/>
    <xf numFmtId="170" fontId="18" fillId="0" borderId="9" xfId="0" applyNumberFormat="1" applyFont="1" applyBorder="1"/>
    <xf numFmtId="44" fontId="18" fillId="0" borderId="6" xfId="2" applyFont="1" applyFill="1" applyBorder="1"/>
    <xf numFmtId="10" fontId="18" fillId="0" borderId="6" xfId="3" applyNumberFormat="1" applyFont="1" applyFill="1" applyBorder="1"/>
    <xf numFmtId="10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71" fontId="19" fillId="0" borderId="4" xfId="3" applyNumberFormat="1" applyFont="1" applyFill="1" applyBorder="1"/>
    <xf numFmtId="44" fontId="12" fillId="0" borderId="6" xfId="0" applyNumberFormat="1" applyFont="1" applyBorder="1"/>
    <xf numFmtId="170" fontId="23" fillId="4" borderId="3" xfId="0" applyNumberFormat="1" applyFont="1" applyFill="1" applyBorder="1"/>
    <xf numFmtId="44" fontId="11" fillId="4" borderId="3" xfId="2" applyFont="1" applyFill="1" applyBorder="1"/>
    <xf numFmtId="171" fontId="11" fillId="4" borderId="4" xfId="3" applyNumberFormat="1" applyFont="1" applyFill="1" applyBorder="1"/>
    <xf numFmtId="0" fontId="24" fillId="0" borderId="6" xfId="0" applyFont="1" applyBorder="1" applyAlignment="1">
      <alignment horizontal="right"/>
    </xf>
    <xf numFmtId="10" fontId="12" fillId="3" borderId="6" xfId="3" applyNumberFormat="1" applyFont="1" applyFill="1" applyBorder="1"/>
    <xf numFmtId="169" fontId="12" fillId="0" borderId="6" xfId="1" applyNumberFormat="1" applyFont="1" applyBorder="1"/>
    <xf numFmtId="171" fontId="12" fillId="0" borderId="6" xfId="3" applyNumberFormat="1" applyFont="1" applyBorder="1"/>
    <xf numFmtId="170" fontId="9" fillId="5" borderId="3" xfId="0" applyNumberFormat="1" applyFont="1" applyFill="1" applyBorder="1"/>
    <xf numFmtId="44" fontId="19" fillId="5" borderId="3" xfId="2" applyFont="1" applyFill="1" applyBorder="1"/>
    <xf numFmtId="171" fontId="19" fillId="5" borderId="4" xfId="3" applyNumberFormat="1" applyFont="1" applyFill="1" applyBorder="1"/>
    <xf numFmtId="44" fontId="3" fillId="0" borderId="0" xfId="0" applyNumberFormat="1" applyFont="1"/>
    <xf numFmtId="164" fontId="3" fillId="0" borderId="0" xfId="0" applyNumberFormat="1" applyFont="1"/>
    <xf numFmtId="10" fontId="3" fillId="0" borderId="0" xfId="0" applyNumberFormat="1" applyFont="1"/>
    <xf numFmtId="0" fontId="3" fillId="14" borderId="2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wrapText="1"/>
    </xf>
    <xf numFmtId="175" fontId="3" fillId="0" borderId="6" xfId="0" applyNumberFormat="1" applyFont="1" applyBorder="1"/>
    <xf numFmtId="0" fontId="3" fillId="0" borderId="26" xfId="0" applyFont="1" applyBorder="1"/>
    <xf numFmtId="0" fontId="3" fillId="14" borderId="22" xfId="0" applyFont="1" applyFill="1" applyBorder="1"/>
    <xf numFmtId="164" fontId="3" fillId="14" borderId="23" xfId="0" applyNumberFormat="1" applyFont="1" applyFill="1" applyBorder="1"/>
    <xf numFmtId="0" fontId="3" fillId="14" borderId="4" xfId="0" applyFont="1" applyFill="1" applyBorder="1" applyAlignment="1">
      <alignment horizontal="center" vertical="center" wrapText="1"/>
    </xf>
    <xf numFmtId="0" fontId="3" fillId="0" borderId="27" xfId="0" applyFont="1" applyBorder="1"/>
    <xf numFmtId="9" fontId="3" fillId="9" borderId="28" xfId="3" applyFont="1" applyFill="1" applyBorder="1"/>
    <xf numFmtId="9" fontId="3" fillId="0" borderId="28" xfId="3" applyFont="1" applyFill="1" applyBorder="1"/>
    <xf numFmtId="0" fontId="3" fillId="9" borderId="28" xfId="0" applyFont="1" applyFill="1" applyBorder="1"/>
    <xf numFmtId="169" fontId="3" fillId="2" borderId="28" xfId="3" applyNumberFormat="1" applyFont="1" applyFill="1" applyBorder="1"/>
    <xf numFmtId="0" fontId="3" fillId="11" borderId="28" xfId="0" applyFont="1" applyFill="1" applyBorder="1"/>
    <xf numFmtId="0" fontId="3" fillId="11" borderId="29" xfId="0" applyFont="1" applyFill="1" applyBorder="1"/>
    <xf numFmtId="10" fontId="3" fillId="0" borderId="0" xfId="3" applyNumberFormat="1" applyFont="1"/>
    <xf numFmtId="44" fontId="3" fillId="5" borderId="6" xfId="2" applyFont="1" applyFill="1" applyBorder="1"/>
    <xf numFmtId="43" fontId="0" fillId="5" borderId="0" xfId="0" applyNumberFormat="1" applyFill="1"/>
    <xf numFmtId="0" fontId="0" fillId="5" borderId="0" xfId="0" applyFill="1"/>
    <xf numFmtId="43" fontId="26" fillId="5" borderId="6" xfId="1" applyFont="1" applyFill="1" applyBorder="1" applyAlignment="1">
      <alignment horizontal="center"/>
    </xf>
    <xf numFmtId="44" fontId="27" fillId="5" borderId="6" xfId="2" applyFont="1" applyFill="1" applyBorder="1" applyAlignment="1">
      <alignment horizontal="center"/>
    </xf>
    <xf numFmtId="10" fontId="3" fillId="5" borderId="5" xfId="3" applyNumberFormat="1" applyFont="1" applyFill="1" applyBorder="1"/>
    <xf numFmtId="10" fontId="3" fillId="5" borderId="6" xfId="3" applyNumberFormat="1" applyFont="1" applyFill="1" applyBorder="1"/>
    <xf numFmtId="166" fontId="3" fillId="17" borderId="5" xfId="0" applyNumberFormat="1" applyFont="1" applyFill="1" applyBorder="1"/>
    <xf numFmtId="44" fontId="3" fillId="5" borderId="13" xfId="2" applyFont="1" applyFill="1" applyBorder="1"/>
    <xf numFmtId="9" fontId="3" fillId="18" borderId="18" xfId="3" applyFont="1" applyFill="1" applyBorder="1"/>
    <xf numFmtId="9" fontId="3" fillId="18" borderId="9" xfId="3" applyFont="1" applyFill="1" applyBorder="1"/>
    <xf numFmtId="9" fontId="3" fillId="14" borderId="9" xfId="3" applyFont="1" applyFill="1" applyBorder="1"/>
    <xf numFmtId="0" fontId="3" fillId="14" borderId="19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171" fontId="22" fillId="0" borderId="19" xfId="0" applyNumberFormat="1" applyFont="1" applyBorder="1" applyAlignment="1">
      <alignment horizontal="center" vertical="center"/>
    </xf>
    <xf numFmtId="171" fontId="22" fillId="0" borderId="24" xfId="0" applyNumberFormat="1" applyFont="1" applyBorder="1" applyAlignment="1">
      <alignment horizontal="center" vertical="center"/>
    </xf>
    <xf numFmtId="171" fontId="22" fillId="0" borderId="18" xfId="0" applyNumberFormat="1" applyFont="1" applyBorder="1" applyAlignment="1">
      <alignment horizontal="center" vertical="center"/>
    </xf>
    <xf numFmtId="171" fontId="16" fillId="7" borderId="17" xfId="3" applyNumberFormat="1" applyFont="1" applyFill="1" applyBorder="1" applyAlignment="1">
      <alignment horizontal="center" vertical="center"/>
    </xf>
    <xf numFmtId="171" fontId="16" fillId="7" borderId="5" xfId="3" applyNumberFormat="1" applyFont="1" applyFill="1" applyBorder="1" applyAlignment="1">
      <alignment horizontal="center" vertical="center"/>
    </xf>
    <xf numFmtId="171" fontId="16" fillId="7" borderId="13" xfId="3" applyNumberFormat="1" applyFont="1" applyFill="1" applyBorder="1" applyAlignment="1">
      <alignment horizontal="center" vertical="center"/>
    </xf>
    <xf numFmtId="171" fontId="16" fillId="7" borderId="20" xfId="3" applyNumberFormat="1" applyFont="1" applyFill="1" applyBorder="1" applyAlignment="1">
      <alignment horizontal="center" vertical="center"/>
    </xf>
    <xf numFmtId="44" fontId="3" fillId="9" borderId="17" xfId="0" applyNumberFormat="1" applyFont="1" applyFill="1" applyBorder="1" applyAlignment="1">
      <alignment horizontal="center" vertical="center"/>
    </xf>
    <xf numFmtId="44" fontId="3" fillId="9" borderId="5" xfId="0" applyNumberFormat="1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171" fontId="22" fillId="0" borderId="13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69" fontId="3" fillId="0" borderId="0" xfId="3" applyNumberFormat="1" applyFont="1"/>
    <xf numFmtId="43" fontId="3" fillId="0" borderId="0" xfId="0" applyNumberFormat="1" applyFont="1"/>
    <xf numFmtId="169" fontId="25" fillId="5" borderId="5" xfId="1" applyNumberFormat="1" applyFont="1" applyFill="1" applyBorder="1"/>
    <xf numFmtId="170" fontId="27" fillId="5" borderId="5" xfId="0" applyNumberFormat="1" applyFont="1" applyFill="1" applyBorder="1"/>
    <xf numFmtId="169" fontId="25" fillId="5" borderId="6" xfId="1" applyNumberFormat="1" applyFont="1" applyFill="1" applyBorder="1"/>
    <xf numFmtId="170" fontId="27" fillId="5" borderId="6" xfId="0" applyNumberFormat="1" applyFont="1" applyFill="1" applyBorder="1"/>
    <xf numFmtId="169" fontId="25" fillId="5" borderId="13" xfId="1" applyNumberFormat="1" applyFont="1" applyFill="1" applyBorder="1"/>
    <xf numFmtId="170" fontId="27" fillId="5" borderId="13" xfId="0" applyNumberFormat="1" applyFont="1" applyFill="1" applyBorder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F8CBAD"/>
      <color rgb="FF00B0F0"/>
      <color rgb="FF0070C0"/>
      <color rgb="FFDDEBF7"/>
      <color rgb="FFD0CECE"/>
      <color rgb="FFBFBFBF"/>
      <color rgb="FFFFFFFF"/>
      <color rgb="FFFF0000"/>
      <color rgb="FF2F75B5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92710</xdr:colOff>
      <xdr:row>38</xdr:row>
      <xdr:rowOff>114300</xdr:rowOff>
    </xdr:from>
    <xdr:to>
      <xdr:col>12</xdr:col>
      <xdr:colOff>605790</xdr:colOff>
      <xdr:row>38</xdr:row>
      <xdr:rowOff>114300</xdr:rowOff>
    </xdr:to>
    <xdr:cxnSp macro="">
      <xdr:nvCxnSpPr>
        <xdr:cNvPr id="1140" name="Straight Arrow Connector 2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CxnSpPr/>
      </xdr:nvCxnSpPr>
      <xdr:spPr>
        <a:xfrm>
          <a:off x="11629390" y="7512050"/>
          <a:ext cx="1362710" cy="0"/>
        </a:xfrm>
        <a:prstGeom prst="straightConnector1">
          <a:avLst/>
        </a:prstGeom>
        <a:ln w="6350" cap="flat" cmpd="sng">
          <a:solidFill>
            <a:srgbClr val="4472C4"/>
          </a:solidFill>
          <a:prstDash val="solid"/>
          <a:miter/>
          <a:headEnd type="none" w="med" len="med"/>
          <a:tailEnd type="triangle" w="med" len="med"/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92710</xdr:colOff>
      <xdr:row>38</xdr:row>
      <xdr:rowOff>114300</xdr:rowOff>
    </xdr:from>
    <xdr:to>
      <xdr:col>12</xdr:col>
      <xdr:colOff>605790</xdr:colOff>
      <xdr:row>38</xdr:row>
      <xdr:rowOff>114300</xdr:rowOff>
    </xdr:to>
    <xdr:cxnSp macro="">
      <xdr:nvCxnSpPr>
        <xdr:cNvPr id="2" name="Straight Arrow Connector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11629390" y="7512050"/>
          <a:ext cx="1362710" cy="0"/>
        </a:xfrm>
        <a:prstGeom prst="straightConnector1">
          <a:avLst/>
        </a:prstGeom>
        <a:ln w="6350" cap="flat" cmpd="sng">
          <a:solidFill>
            <a:srgbClr val="4472C4"/>
          </a:solidFill>
          <a:prstDash val="solid"/>
          <a:miter/>
          <a:headEnd type="none" w="med" len="med"/>
          <a:tailEnd type="triangle" w="med" len="med"/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92710</xdr:colOff>
      <xdr:row>38</xdr:row>
      <xdr:rowOff>114300</xdr:rowOff>
    </xdr:from>
    <xdr:to>
      <xdr:col>12</xdr:col>
      <xdr:colOff>605790</xdr:colOff>
      <xdr:row>38</xdr:row>
      <xdr:rowOff>114300</xdr:rowOff>
    </xdr:to>
    <xdr:cxnSp macro="">
      <xdr:nvCxnSpPr>
        <xdr:cNvPr id="2" name="Straight Arrow Connector 2">
          <a:extLst>
            <a:ext uri="{FF2B5EF4-FFF2-40B4-BE49-F238E27FC236}">
              <a16:creationId xmlns:a16="http://schemas.microsoft.com/office/drawing/2014/main" id="{D2AB8F3D-F311-0F40-BB5D-22B0CB26B822}"/>
            </a:ext>
          </a:extLst>
        </xdr:cNvPr>
        <xdr:cNvCxnSpPr/>
      </xdr:nvCxnSpPr>
      <xdr:spPr>
        <a:xfrm>
          <a:off x="12678410" y="7366000"/>
          <a:ext cx="1440180" cy="0"/>
        </a:xfrm>
        <a:prstGeom prst="straightConnector1">
          <a:avLst/>
        </a:prstGeom>
        <a:ln w="6350" cap="flat" cmpd="sng">
          <a:solidFill>
            <a:srgbClr val="4472C4"/>
          </a:solidFill>
          <a:prstDash val="solid"/>
          <a:miter/>
          <a:headEnd type="none" w="med" len="med"/>
          <a:tailEnd type="triangle" w="med" len="med"/>
        </a:ln>
      </xdr:spPr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3:I8" totalsRowCount="1">
  <autoFilter ref="B3:I7" xr:uid="{00000000-0009-0000-0100-000002000000}"/>
  <tableColumns count="8">
    <tableColumn id="1" xr3:uid="{00000000-0010-0000-0000-000001000000}" name="PUESTO" totalsRowLabel="Total"/>
    <tableColumn id="2" xr3:uid="{00000000-0010-0000-0000-000002000000}" name="NOMBRE"/>
    <tableColumn id="3" xr3:uid="{00000000-0010-0000-0000-000003000000}" name="MESES"/>
    <tableColumn id="4" xr3:uid="{00000000-0010-0000-0000-000004000000}" name="US$ x Mes" totalsRowFunction="sum"/>
    <tableColumn id="5" xr3:uid="{00000000-0010-0000-0000-000005000000}" name="TOTAL AÑO" totalsRowFunction="sum">
      <calculatedColumnFormula>+'Anexo6_Gastos Fijos'!$E$7*'Anexo6_Gastos Fijos'!$D$7</calculatedColumnFormula>
    </tableColumn>
    <tableColumn id="6" xr3:uid="{00000000-0010-0000-0000-000006000000}" name="TC">
      <calculatedColumnFormula>BASE_EXPORTACION!TC_2023</calculatedColumnFormula>
    </tableColumn>
    <tableColumn id="7" xr3:uid="{00000000-0010-0000-0000-000007000000}" name="QTZ  x Mes" totalsRowFunction="sum">
      <calculatedColumnFormula>+'Anexo6_Gastos Fijos'!$E$7*'Anexo6_Gastos Fijos'!$G$7</calculatedColumnFormula>
    </tableColumn>
    <tableColumn id="8" xr3:uid="{00000000-0010-0000-0000-000008000000}" name="QTZ  AÑO" totalsRowFunction="sum">
      <calculatedColumnFormula>+'Anexo6_Gastos Fijos'!$F$7*'Anexo6_Gastos Fijos'!$G$7</calculatedColumn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122"/>
  <sheetViews>
    <sheetView showGridLines="0" topLeftCell="C1" zoomScale="110" zoomScaleNormal="110" workbookViewId="0">
      <selection activeCell="G6" sqref="G6"/>
    </sheetView>
  </sheetViews>
  <sheetFormatPr baseColWidth="10" defaultColWidth="11.5" defaultRowHeight="15" x14ac:dyDescent="0.2"/>
  <cols>
    <col min="1" max="1" width="2.5" style="11" customWidth="1"/>
    <col min="2" max="2" width="13.33203125" style="11" customWidth="1"/>
    <col min="3" max="3" width="13.1640625" style="11" customWidth="1"/>
    <col min="4" max="4" width="14.1640625" style="11" customWidth="1"/>
    <col min="5" max="5" width="29.6640625" style="11" customWidth="1"/>
    <col min="6" max="6" width="13.5" style="11" customWidth="1"/>
    <col min="7" max="7" width="14.83203125" style="11" customWidth="1"/>
    <col min="8" max="8" width="16.5" style="75" customWidth="1"/>
    <col min="9" max="9" width="16.33203125" style="11" customWidth="1"/>
    <col min="10" max="10" width="19.5" style="11" customWidth="1"/>
    <col min="11" max="11" width="11.6640625" style="11" customWidth="1"/>
    <col min="12" max="12" width="12.1640625" style="11" customWidth="1"/>
    <col min="13" max="13" width="10.33203125" style="11" customWidth="1"/>
    <col min="14" max="14" width="35.6640625" style="11"/>
    <col min="15" max="15" width="13.5"/>
    <col min="16" max="16" width="3.1640625" style="53" customWidth="1"/>
    <col min="17" max="17" width="15.5" style="11"/>
    <col min="18" max="18" width="16.83203125" style="11" customWidth="1"/>
    <col min="19" max="19" width="11.83203125" style="11" customWidth="1"/>
    <col min="20" max="20" width="12.5" style="11" customWidth="1"/>
    <col min="21" max="23" width="11.6640625" style="11" customWidth="1"/>
    <col min="24" max="24" width="12.5" style="11" customWidth="1"/>
    <col min="25" max="25" width="11.6640625" style="11" customWidth="1"/>
    <col min="26" max="26" width="5" style="11" customWidth="1"/>
    <col min="27" max="16384" width="11.5" style="11"/>
  </cols>
  <sheetData>
    <row r="1" spans="2:25" ht="24" x14ac:dyDescent="0.3">
      <c r="B1" s="76" t="s">
        <v>0</v>
      </c>
      <c r="C1" s="77">
        <v>45307</v>
      </c>
    </row>
    <row r="2" spans="2:25" ht="19" x14ac:dyDescent="0.25">
      <c r="B2" s="78" t="s">
        <v>1</v>
      </c>
      <c r="D2" s="79"/>
      <c r="E2" s="79"/>
      <c r="F2" s="80" t="s">
        <v>2</v>
      </c>
      <c r="G2" s="81">
        <f>+K45</f>
        <v>-0.8856218672245294</v>
      </c>
      <c r="H2" s="82">
        <f>+I45</f>
        <v>-5142256.8888409147</v>
      </c>
      <c r="I2" s="178">
        <f>+J41</f>
        <v>-39849109.025103822</v>
      </c>
      <c r="J2" s="179"/>
      <c r="K2" s="180" t="s">
        <v>3</v>
      </c>
      <c r="L2" s="179"/>
      <c r="M2" s="179"/>
      <c r="N2" s="179"/>
    </row>
    <row r="3" spans="2:25" x14ac:dyDescent="0.2">
      <c r="B3" s="83"/>
      <c r="C3" s="84"/>
      <c r="F3" s="85" t="s">
        <v>4</v>
      </c>
      <c r="J3" s="181" t="s">
        <v>5</v>
      </c>
      <c r="K3" s="181"/>
      <c r="L3" s="181"/>
      <c r="M3" s="182">
        <v>1</v>
      </c>
      <c r="N3" s="183">
        <v>10000</v>
      </c>
    </row>
    <row r="4" spans="2:25" ht="16" x14ac:dyDescent="0.2">
      <c r="C4" s="86">
        <v>100</v>
      </c>
      <c r="D4" s="23" t="s">
        <v>6</v>
      </c>
      <c r="E4" s="23" t="s">
        <v>7</v>
      </c>
      <c r="F4" s="23" t="s">
        <v>8</v>
      </c>
      <c r="G4" s="87" t="s">
        <v>9</v>
      </c>
      <c r="H4" s="23" t="s">
        <v>10</v>
      </c>
      <c r="I4" s="23" t="s">
        <v>11</v>
      </c>
      <c r="J4" s="181" t="s">
        <v>12</v>
      </c>
      <c r="K4" s="181"/>
      <c r="L4" s="181"/>
      <c r="M4" s="184">
        <v>0</v>
      </c>
      <c r="N4" s="185">
        <v>0</v>
      </c>
      <c r="P4" s="11"/>
    </row>
    <row r="5" spans="2:25" ht="16" x14ac:dyDescent="0.2">
      <c r="B5" s="87" t="s">
        <v>13</v>
      </c>
      <c r="C5" s="88">
        <v>500</v>
      </c>
      <c r="D5" s="89">
        <v>90000</v>
      </c>
      <c r="E5" s="90">
        <f>+quintales_2023*D5</f>
        <v>45000000</v>
      </c>
      <c r="F5" s="270">
        <v>7.75</v>
      </c>
      <c r="G5" s="91">
        <f>+E5/TC_2023</f>
        <v>5806451.6129032262</v>
      </c>
      <c r="H5" s="92">
        <f>(C5*(1-H6)*(100/2.20462))</f>
        <v>21999.256107628527</v>
      </c>
      <c r="I5" s="186">
        <f>+G5/kilos_2023</f>
        <v>263.93854339873627</v>
      </c>
      <c r="J5" s="187" t="s">
        <v>14</v>
      </c>
      <c r="K5" s="181"/>
      <c r="L5" s="181"/>
      <c r="M5" s="188">
        <f>+SUM(M3:M4)</f>
        <v>1</v>
      </c>
      <c r="N5" s="189">
        <f>SUM(N3:N4)</f>
        <v>10000</v>
      </c>
      <c r="Q5" s="11" t="s">
        <v>15</v>
      </c>
      <c r="S5" s="11" t="s">
        <v>15</v>
      </c>
      <c r="U5" s="11" t="s">
        <v>16</v>
      </c>
    </row>
    <row r="6" spans="2:25" ht="32" x14ac:dyDescent="0.2">
      <c r="G6" s="93" t="s">
        <v>17</v>
      </c>
      <c r="H6" s="75">
        <v>0.03</v>
      </c>
      <c r="P6" s="11"/>
      <c r="Q6" s="11" t="s">
        <v>18</v>
      </c>
      <c r="S6" s="11" t="s">
        <v>19</v>
      </c>
      <c r="U6" s="11" t="s">
        <v>20</v>
      </c>
      <c r="W6" s="251" t="s">
        <v>21</v>
      </c>
      <c r="X6" s="252" t="s">
        <v>22</v>
      </c>
      <c r="Y6" s="257" t="s">
        <v>23</v>
      </c>
    </row>
    <row r="7" spans="2:25" x14ac:dyDescent="0.2">
      <c r="B7" s="94" t="s">
        <v>24</v>
      </c>
      <c r="C7" s="95" t="s">
        <v>25</v>
      </c>
      <c r="D7" s="96" t="s">
        <v>23</v>
      </c>
      <c r="E7" s="97" t="s">
        <v>26</v>
      </c>
      <c r="F7" s="98" t="s">
        <v>27</v>
      </c>
      <c r="G7" s="98" t="s">
        <v>28</v>
      </c>
      <c r="H7" s="98" t="s">
        <v>29</v>
      </c>
      <c r="I7" s="190" t="s">
        <v>30</v>
      </c>
      <c r="J7" s="98" t="s">
        <v>31</v>
      </c>
      <c r="K7" s="191" t="s">
        <v>32</v>
      </c>
      <c r="M7" s="192" t="s">
        <v>33</v>
      </c>
      <c r="N7" s="193" t="s">
        <v>6</v>
      </c>
      <c r="P7" s="11"/>
      <c r="Q7" s="98" t="s">
        <v>29</v>
      </c>
      <c r="S7" s="98" t="s">
        <v>29</v>
      </c>
      <c r="U7" s="98" t="s">
        <v>29</v>
      </c>
      <c r="W7" s="71"/>
      <c r="X7" s="17"/>
      <c r="Y7" s="258"/>
    </row>
    <row r="8" spans="2:25" x14ac:dyDescent="0.2">
      <c r="B8" s="99">
        <f>+G8/k_2023</f>
        <v>0.15</v>
      </c>
      <c r="C8" s="284">
        <f>SUM(F8+F9+F10)</f>
        <v>0.5</v>
      </c>
      <c r="D8" s="288" t="s">
        <v>34</v>
      </c>
      <c r="E8" s="100" t="s">
        <v>35</v>
      </c>
      <c r="F8" s="101">
        <v>0.15</v>
      </c>
      <c r="G8" s="102">
        <f>+k_2023*F8</f>
        <v>3299.8884161442788</v>
      </c>
      <c r="H8" s="103">
        <v>38</v>
      </c>
      <c r="I8" s="194">
        <f>+H8*G8</f>
        <v>125395.7598134826</v>
      </c>
      <c r="J8" s="195">
        <f>+I8*TC_2023</f>
        <v>971817.13855449017</v>
      </c>
      <c r="K8" s="196">
        <f t="shared" ref="K8:K21" si="0">+J8/$J$21</f>
        <v>0.16521739130434782</v>
      </c>
      <c r="L8" s="197">
        <f>+G8/40</f>
        <v>82.497210403606971</v>
      </c>
      <c r="M8" s="198">
        <f>+G8*2.20462/100</f>
        <v>72.749999999999986</v>
      </c>
      <c r="N8" s="199">
        <f t="shared" ref="N8:N19" si="1">+H8*46*TC_2023</f>
        <v>13547</v>
      </c>
      <c r="Q8" s="103">
        <v>21.5</v>
      </c>
      <c r="S8" s="103">
        <v>22.5</v>
      </c>
      <c r="U8" s="103">
        <v>16.649999999999999</v>
      </c>
      <c r="W8" s="30">
        <v>40</v>
      </c>
      <c r="X8" s="253">
        <f>+G8/W8</f>
        <v>82.497210403606971</v>
      </c>
      <c r="Y8" s="259" t="s">
        <v>35</v>
      </c>
    </row>
    <row r="9" spans="2:25" x14ac:dyDescent="0.2">
      <c r="B9" s="104">
        <f t="shared" ref="B9:B21" si="2">+G9/k_2023</f>
        <v>0.15</v>
      </c>
      <c r="C9" s="284"/>
      <c r="D9" s="288"/>
      <c r="E9" s="105" t="s">
        <v>36</v>
      </c>
      <c r="F9" s="106">
        <v>0.15</v>
      </c>
      <c r="G9" s="107">
        <f>+F9*k_2023</f>
        <v>3299.8884161442788</v>
      </c>
      <c r="H9" s="108">
        <f>H8-2</f>
        <v>36</v>
      </c>
      <c r="I9" s="200">
        <f t="shared" ref="I9:I19" si="3">+H9*G9</f>
        <v>118795.98298119404</v>
      </c>
      <c r="J9" s="201">
        <f>+I9*TC_2023</f>
        <v>920668.8681042539</v>
      </c>
      <c r="K9" s="202">
        <f t="shared" si="0"/>
        <v>0.15652173913043479</v>
      </c>
      <c r="L9" s="197">
        <f t="shared" ref="L9:L19" si="4">+G9/40</f>
        <v>82.497210403606971</v>
      </c>
      <c r="M9" s="198">
        <f t="shared" ref="M9:M19" si="5">+G9*2.20462/100</f>
        <v>72.749999999999986</v>
      </c>
      <c r="N9" s="199">
        <f t="shared" si="1"/>
        <v>12834</v>
      </c>
      <c r="Q9" s="108">
        <f>+Q8-1</f>
        <v>20.5</v>
      </c>
      <c r="S9" s="108">
        <f>+S8-1.5</f>
        <v>21</v>
      </c>
      <c r="U9" s="108">
        <f>+U8-1.5</f>
        <v>15.15</v>
      </c>
      <c r="W9" s="30">
        <v>40</v>
      </c>
      <c r="X9" s="253">
        <f t="shared" ref="X9:X19" si="6">+G9/W9</f>
        <v>82.497210403606971</v>
      </c>
      <c r="Y9" s="259" t="s">
        <v>36</v>
      </c>
    </row>
    <row r="10" spans="2:25" x14ac:dyDescent="0.2">
      <c r="B10" s="104">
        <f t="shared" si="2"/>
        <v>0.2</v>
      </c>
      <c r="C10" s="284"/>
      <c r="D10" s="288"/>
      <c r="E10" s="105" t="s">
        <v>37</v>
      </c>
      <c r="F10" s="106">
        <v>0.2</v>
      </c>
      <c r="G10" s="109">
        <f>+F10*k_2023</f>
        <v>4399.851221525706</v>
      </c>
      <c r="H10" s="110">
        <f>H9-2.5</f>
        <v>33.5</v>
      </c>
      <c r="I10" s="203">
        <f t="shared" si="3"/>
        <v>147395.01592111116</v>
      </c>
      <c r="J10" s="201">
        <f>+I10*TC_2023</f>
        <v>1142311.3733886115</v>
      </c>
      <c r="K10" s="202">
        <f t="shared" si="0"/>
        <v>0.19420289855072467</v>
      </c>
      <c r="L10" s="197">
        <f t="shared" si="4"/>
        <v>109.99628053814266</v>
      </c>
      <c r="M10" s="204">
        <f t="shared" si="5"/>
        <v>97.000000000000014</v>
      </c>
      <c r="N10" s="205">
        <f t="shared" si="1"/>
        <v>11942.75</v>
      </c>
      <c r="Q10" s="110">
        <f>+Q8-3</f>
        <v>18.5</v>
      </c>
      <c r="S10" s="110">
        <f>+S8-3.5</f>
        <v>19</v>
      </c>
      <c r="U10" s="110">
        <f>+U8-3.5</f>
        <v>13.15</v>
      </c>
      <c r="W10" s="30">
        <v>40</v>
      </c>
      <c r="X10" s="253">
        <f t="shared" si="6"/>
        <v>109.99628053814266</v>
      </c>
      <c r="Y10" s="259" t="s">
        <v>37</v>
      </c>
    </row>
    <row r="11" spans="2:25" x14ac:dyDescent="0.2">
      <c r="B11" s="111">
        <f t="shared" si="2"/>
        <v>0.5</v>
      </c>
      <c r="C11" s="285"/>
      <c r="D11" s="289"/>
      <c r="E11" s="111"/>
      <c r="F11" s="111">
        <f>+C8</f>
        <v>0.5</v>
      </c>
      <c r="G11" s="112">
        <f>SUM(G8:G10)</f>
        <v>10999.628053814264</v>
      </c>
      <c r="H11" s="113">
        <f>IFERROR(I11/G11,0)</f>
        <v>35.6</v>
      </c>
      <c r="I11" s="113">
        <f>SUM(I8:I10)</f>
        <v>391586.75871578779</v>
      </c>
      <c r="J11" s="206">
        <f>SUM(J8:J10)</f>
        <v>3034797.3800473558</v>
      </c>
      <c r="K11" s="207">
        <f t="shared" si="0"/>
        <v>0.51594202898550734</v>
      </c>
      <c r="L11" s="197"/>
      <c r="M11" s="112">
        <f>SUM(M8:M10)</f>
        <v>242.5</v>
      </c>
      <c r="N11" s="206">
        <f>IFERROR(J11/M11,0)</f>
        <v>12514.628371329301</v>
      </c>
      <c r="Q11" s="113">
        <f>IFERROR(R11/P11,0)</f>
        <v>0</v>
      </c>
      <c r="S11" s="113">
        <f>IFERROR(T11/R11,0)</f>
        <v>0</v>
      </c>
      <c r="U11" s="113">
        <f>IFERROR(V11/T11,0)</f>
        <v>0</v>
      </c>
      <c r="W11" s="30"/>
      <c r="X11" s="253"/>
      <c r="Y11" s="260"/>
    </row>
    <row r="12" spans="2:25" x14ac:dyDescent="0.2">
      <c r="B12" s="104">
        <f t="shared" si="2"/>
        <v>0.3</v>
      </c>
      <c r="C12" s="286">
        <f>F12+F13</f>
        <v>0.5</v>
      </c>
      <c r="D12" s="290" t="s">
        <v>38</v>
      </c>
      <c r="E12" s="105" t="s">
        <v>39</v>
      </c>
      <c r="F12" s="106">
        <v>0.3</v>
      </c>
      <c r="G12" s="107">
        <f>+F12*k_2023</f>
        <v>6599.7768322885577</v>
      </c>
      <c r="H12" s="108">
        <f>H10+2</f>
        <v>35.5</v>
      </c>
      <c r="I12" s="200">
        <f t="shared" si="3"/>
        <v>234292.07754624379</v>
      </c>
      <c r="J12" s="201">
        <f>+I12*TC_2023</f>
        <v>1815763.6009833894</v>
      </c>
      <c r="K12" s="202">
        <f t="shared" si="0"/>
        <v>0.30869565217391304</v>
      </c>
      <c r="L12" s="197">
        <f t="shared" si="4"/>
        <v>164.99442080721394</v>
      </c>
      <c r="M12" s="208">
        <f t="shared" si="5"/>
        <v>145.49999999999997</v>
      </c>
      <c r="N12" s="209">
        <f t="shared" si="1"/>
        <v>12655.75</v>
      </c>
      <c r="Q12" s="108">
        <f>+Q8-2.5</f>
        <v>19</v>
      </c>
      <c r="R12" s="53"/>
      <c r="S12" s="108">
        <f>+S8-2.5</f>
        <v>20</v>
      </c>
      <c r="U12" s="108">
        <f>+U8-2.5</f>
        <v>14.15</v>
      </c>
      <c r="W12" s="30">
        <v>40</v>
      </c>
      <c r="X12" s="253">
        <f t="shared" si="6"/>
        <v>164.99442080721394</v>
      </c>
      <c r="Y12" s="259" t="s">
        <v>39</v>
      </c>
    </row>
    <row r="13" spans="2:25" x14ac:dyDescent="0.2">
      <c r="B13" s="104">
        <f t="shared" si="2"/>
        <v>0.2</v>
      </c>
      <c r="C13" s="284"/>
      <c r="D13" s="291"/>
      <c r="E13" s="114" t="s">
        <v>40</v>
      </c>
      <c r="F13" s="106">
        <v>0.2</v>
      </c>
      <c r="G13" s="109">
        <f>+F13*k_2023</f>
        <v>4399.851221525706</v>
      </c>
      <c r="H13" s="110">
        <f>H12-5.25</f>
        <v>30.25</v>
      </c>
      <c r="I13" s="203">
        <f t="shared" si="3"/>
        <v>133095.4994511526</v>
      </c>
      <c r="J13" s="201">
        <f>+I13*TC_2023</f>
        <v>1031490.1207464327</v>
      </c>
      <c r="K13" s="202">
        <f t="shared" si="0"/>
        <v>0.17536231884057973</v>
      </c>
      <c r="L13" s="197">
        <f t="shared" si="4"/>
        <v>109.99628053814266</v>
      </c>
      <c r="M13" s="204">
        <f t="shared" si="5"/>
        <v>97.000000000000014</v>
      </c>
      <c r="N13" s="205">
        <f t="shared" si="1"/>
        <v>10784.125</v>
      </c>
      <c r="Q13" s="110">
        <f>+Q8-4.5</f>
        <v>17</v>
      </c>
      <c r="R13" s="53"/>
      <c r="S13" s="110">
        <f>+S8-3.75</f>
        <v>18.75</v>
      </c>
      <c r="U13" s="110">
        <f>+U8-4.5</f>
        <v>12.15</v>
      </c>
      <c r="W13" s="30">
        <v>40</v>
      </c>
      <c r="X13" s="253">
        <f t="shared" si="6"/>
        <v>109.99628053814266</v>
      </c>
      <c r="Y13" s="261" t="s">
        <v>40</v>
      </c>
    </row>
    <row r="14" spans="2:25" x14ac:dyDescent="0.2">
      <c r="B14" s="111">
        <f t="shared" si="2"/>
        <v>0.5</v>
      </c>
      <c r="C14" s="287"/>
      <c r="D14" s="115">
        <f>+(I11+I14)/E14</f>
        <v>34.5</v>
      </c>
      <c r="E14" s="116">
        <f>+G11+G14</f>
        <v>21999.256107628527</v>
      </c>
      <c r="F14" s="111">
        <f>+C12</f>
        <v>0.5</v>
      </c>
      <c r="G14" s="112">
        <f>SUM(G12:G13)</f>
        <v>10999.628053814264</v>
      </c>
      <c r="H14" s="113">
        <f>IFERROR(I14/G14,0)</f>
        <v>33.4</v>
      </c>
      <c r="I14" s="113">
        <f>SUM(I12:I13)</f>
        <v>367387.57699739642</v>
      </c>
      <c r="J14" s="206">
        <f>SUM(J12:J13)</f>
        <v>2847253.721729822</v>
      </c>
      <c r="K14" s="207">
        <f t="shared" si="0"/>
        <v>0.48405797101449272</v>
      </c>
      <c r="L14" s="197"/>
      <c r="M14" s="112">
        <f>SUM(M12:M13)</f>
        <v>242.5</v>
      </c>
      <c r="N14" s="206">
        <f>IFERROR(J14/M14,0)</f>
        <v>11741.252460741534</v>
      </c>
      <c r="P14" s="11"/>
      <c r="Q14" s="113">
        <f>IFERROR(R14/P14,0)</f>
        <v>0</v>
      </c>
      <c r="S14" s="113">
        <f>IFERROR(T14/R14,0)</f>
        <v>0</v>
      </c>
      <c r="U14" s="113">
        <f>IFERROR(V14/T14,0)</f>
        <v>0</v>
      </c>
      <c r="W14" s="30"/>
      <c r="X14" s="253"/>
      <c r="Y14" s="262"/>
    </row>
    <row r="15" spans="2:25" x14ac:dyDescent="0.2">
      <c r="B15" s="117">
        <f t="shared" si="2"/>
        <v>0</v>
      </c>
      <c r="C15" s="118">
        <v>0.05</v>
      </c>
      <c r="D15" s="119" t="s">
        <v>41</v>
      </c>
      <c r="E15" s="120" t="s">
        <v>42</v>
      </c>
      <c r="F15" s="117">
        <v>0</v>
      </c>
      <c r="G15" s="121">
        <f>+F15*H5</f>
        <v>0</v>
      </c>
      <c r="H15" s="108">
        <f>H13-2.5</f>
        <v>27.75</v>
      </c>
      <c r="I15" s="200">
        <f t="shared" si="3"/>
        <v>0</v>
      </c>
      <c r="J15" s="201">
        <f t="shared" ref="J15:J21" si="7">+I15*TC_2023</f>
        <v>0</v>
      </c>
      <c r="K15" s="202">
        <f t="shared" si="0"/>
        <v>0</v>
      </c>
      <c r="L15" s="197">
        <f t="shared" si="4"/>
        <v>0</v>
      </c>
      <c r="M15" s="208">
        <f t="shared" si="5"/>
        <v>0</v>
      </c>
      <c r="N15" s="199">
        <f t="shared" si="1"/>
        <v>9892.875</v>
      </c>
      <c r="P15" s="11"/>
      <c r="Q15" s="108">
        <f>+Q8-7.5</f>
        <v>14</v>
      </c>
      <c r="S15" s="108">
        <f>+S8-11.75</f>
        <v>10.75</v>
      </c>
      <c r="U15" s="108">
        <f>+U8-9</f>
        <v>7.65</v>
      </c>
      <c r="W15" s="30">
        <v>40</v>
      </c>
      <c r="X15" s="253">
        <f t="shared" si="6"/>
        <v>0</v>
      </c>
      <c r="Y15" s="263" t="s">
        <v>41</v>
      </c>
    </row>
    <row r="16" spans="2:25" x14ac:dyDescent="0.2">
      <c r="B16" s="117">
        <f t="shared" si="2"/>
        <v>0</v>
      </c>
      <c r="C16" s="118">
        <v>0.16</v>
      </c>
      <c r="D16" s="122" t="s">
        <v>42</v>
      </c>
      <c r="E16" s="123" t="s">
        <v>43</v>
      </c>
      <c r="F16" s="117">
        <v>0</v>
      </c>
      <c r="G16" s="121">
        <f>+F16*H5</f>
        <v>0</v>
      </c>
      <c r="H16" s="108">
        <f>H15-1</f>
        <v>26.75</v>
      </c>
      <c r="I16" s="200">
        <f t="shared" si="3"/>
        <v>0</v>
      </c>
      <c r="J16" s="201">
        <f t="shared" si="7"/>
        <v>0</v>
      </c>
      <c r="K16" s="202">
        <f t="shared" si="0"/>
        <v>0</v>
      </c>
      <c r="L16" s="197">
        <f t="shared" si="4"/>
        <v>0</v>
      </c>
      <c r="M16" s="198">
        <f t="shared" si="5"/>
        <v>0</v>
      </c>
      <c r="N16" s="199">
        <f t="shared" si="1"/>
        <v>9536.375</v>
      </c>
      <c r="P16" s="11"/>
      <c r="Q16" s="108">
        <f>+Q8-6</f>
        <v>15.5</v>
      </c>
      <c r="S16" s="108">
        <f>+S8-6</f>
        <v>16.5</v>
      </c>
      <c r="U16" s="108">
        <f>+U8-6.75</f>
        <v>9.9</v>
      </c>
      <c r="W16" s="30">
        <v>40</v>
      </c>
      <c r="X16" s="253">
        <f t="shared" si="6"/>
        <v>0</v>
      </c>
      <c r="Y16" s="263" t="s">
        <v>42</v>
      </c>
    </row>
    <row r="17" spans="2:25" x14ac:dyDescent="0.2">
      <c r="B17" s="117">
        <f t="shared" si="2"/>
        <v>0</v>
      </c>
      <c r="C17" s="118">
        <v>0.1</v>
      </c>
      <c r="D17" s="124" t="s">
        <v>43</v>
      </c>
      <c r="E17" s="123" t="s">
        <v>44</v>
      </c>
      <c r="F17" s="117">
        <v>0</v>
      </c>
      <c r="G17" s="121">
        <f>+F17*H5</f>
        <v>0</v>
      </c>
      <c r="H17" s="108">
        <f>H16-1.254</f>
        <v>25.495999999999999</v>
      </c>
      <c r="I17" s="200">
        <f t="shared" si="3"/>
        <v>0</v>
      </c>
      <c r="J17" s="201">
        <f t="shared" si="7"/>
        <v>0</v>
      </c>
      <c r="K17" s="202">
        <f t="shared" si="0"/>
        <v>0</v>
      </c>
      <c r="L17" s="197">
        <f t="shared" si="4"/>
        <v>0</v>
      </c>
      <c r="M17" s="198">
        <f t="shared" si="5"/>
        <v>0</v>
      </c>
      <c r="N17" s="199">
        <f t="shared" si="1"/>
        <v>9089.3240000000005</v>
      </c>
      <c r="P17" s="11"/>
      <c r="Q17" s="108">
        <f>+Q8-6</f>
        <v>15.5</v>
      </c>
      <c r="S17" s="108">
        <f>+S8-5.5</f>
        <v>17</v>
      </c>
      <c r="U17" s="108">
        <f>+U8-6.5</f>
        <v>10.15</v>
      </c>
      <c r="W17" s="30">
        <v>40</v>
      </c>
      <c r="X17" s="253">
        <f t="shared" si="6"/>
        <v>0</v>
      </c>
      <c r="Y17" s="263" t="s">
        <v>43</v>
      </c>
    </row>
    <row r="18" spans="2:25" x14ac:dyDescent="0.2">
      <c r="B18" s="117">
        <f t="shared" si="2"/>
        <v>0</v>
      </c>
      <c r="C18" s="118">
        <v>0.03</v>
      </c>
      <c r="D18" s="124" t="s">
        <v>45</v>
      </c>
      <c r="E18" s="123" t="s">
        <v>41</v>
      </c>
      <c r="F18" s="117">
        <v>0</v>
      </c>
      <c r="G18" s="121">
        <f>+F18*H5</f>
        <v>0</v>
      </c>
      <c r="H18" s="108">
        <f>H17-3.5</f>
        <v>21.995999999999999</v>
      </c>
      <c r="I18" s="200">
        <f t="shared" si="3"/>
        <v>0</v>
      </c>
      <c r="J18" s="201">
        <f t="shared" si="7"/>
        <v>0</v>
      </c>
      <c r="K18" s="202">
        <f t="shared" si="0"/>
        <v>0</v>
      </c>
      <c r="L18" s="197">
        <f t="shared" si="4"/>
        <v>0</v>
      </c>
      <c r="M18" s="198">
        <f t="shared" si="5"/>
        <v>0</v>
      </c>
      <c r="N18" s="199">
        <f t="shared" si="1"/>
        <v>7841.5739999999996</v>
      </c>
      <c r="P18" s="11"/>
      <c r="Q18" s="108">
        <f>Q8-5.5</f>
        <v>16</v>
      </c>
      <c r="S18" s="108">
        <f>S8-5.5</f>
        <v>17</v>
      </c>
      <c r="U18" s="108">
        <f>U8-6.5</f>
        <v>10.15</v>
      </c>
      <c r="W18" s="30">
        <v>40</v>
      </c>
      <c r="X18" s="253">
        <f t="shared" si="6"/>
        <v>0</v>
      </c>
      <c r="Y18" s="263" t="s">
        <v>46</v>
      </c>
    </row>
    <row r="19" spans="2:25" x14ac:dyDescent="0.2">
      <c r="B19" s="117">
        <f t="shared" si="2"/>
        <v>0</v>
      </c>
      <c r="C19" s="118">
        <v>0.14000000000000001</v>
      </c>
      <c r="D19" s="124" t="s">
        <v>44</v>
      </c>
      <c r="E19" s="123" t="s">
        <v>46</v>
      </c>
      <c r="F19" s="117">
        <v>0</v>
      </c>
      <c r="G19" s="121">
        <f>+F19*H5</f>
        <v>0</v>
      </c>
      <c r="H19" s="108">
        <f>H17+1</f>
        <v>26.495999999999999</v>
      </c>
      <c r="I19" s="200">
        <f t="shared" si="3"/>
        <v>0</v>
      </c>
      <c r="J19" s="201">
        <f t="shared" si="7"/>
        <v>0</v>
      </c>
      <c r="K19" s="202">
        <f t="shared" si="0"/>
        <v>0</v>
      </c>
      <c r="L19" s="197">
        <f t="shared" si="4"/>
        <v>0</v>
      </c>
      <c r="M19" s="198">
        <f t="shared" si="5"/>
        <v>0</v>
      </c>
      <c r="N19" s="199">
        <f t="shared" si="1"/>
        <v>9445.8240000000005</v>
      </c>
      <c r="O19" s="11"/>
      <c r="P19" s="11"/>
      <c r="Q19" s="108">
        <f>+Q8-6.5</f>
        <v>15</v>
      </c>
      <c r="S19" s="108">
        <f>+S8-6.5</f>
        <v>16</v>
      </c>
      <c r="U19" s="108">
        <f>+U8-8</f>
        <v>8.65</v>
      </c>
      <c r="W19" s="254">
        <v>40</v>
      </c>
      <c r="X19" s="253">
        <f t="shared" si="6"/>
        <v>0</v>
      </c>
      <c r="Y19" s="264" t="s">
        <v>44</v>
      </c>
    </row>
    <row r="20" spans="2:25" x14ac:dyDescent="0.2">
      <c r="B20" s="111">
        <f t="shared" si="2"/>
        <v>0</v>
      </c>
      <c r="C20" s="125"/>
      <c r="D20" s="126"/>
      <c r="E20" s="127"/>
      <c r="F20" s="128">
        <f>SUM(F15:F19)</f>
        <v>0</v>
      </c>
      <c r="G20" s="129">
        <f>SUM(G15:G19)</f>
        <v>0</v>
      </c>
      <c r="H20" s="113">
        <f>IFERROR(I20/G20,0)</f>
        <v>0</v>
      </c>
      <c r="I20" s="113">
        <f>SUM(I15:I19)</f>
        <v>0</v>
      </c>
      <c r="J20" s="206">
        <f>SUM(J15:J19)</f>
        <v>0</v>
      </c>
      <c r="K20" s="210">
        <f t="shared" si="0"/>
        <v>0</v>
      </c>
      <c r="L20" s="46"/>
      <c r="M20" s="129">
        <f>SUM(M15:M19)</f>
        <v>0</v>
      </c>
      <c r="N20" s="206">
        <f>IFERROR(J20/M20,0)</f>
        <v>0</v>
      </c>
      <c r="O20" s="11"/>
      <c r="P20" s="11"/>
      <c r="Q20" s="113">
        <f>IFERROR(R20/P20,0)</f>
        <v>0</v>
      </c>
      <c r="S20" s="113">
        <f>IFERROR(T20/R20,0)</f>
        <v>0</v>
      </c>
      <c r="U20" s="113">
        <f>IFERROR(V20/T20,0)</f>
        <v>0</v>
      </c>
    </row>
    <row r="21" spans="2:25" x14ac:dyDescent="0.2">
      <c r="B21" s="130">
        <f t="shared" si="2"/>
        <v>1</v>
      </c>
      <c r="C21" s="131">
        <f>+SUM(C7:C19)</f>
        <v>1.48</v>
      </c>
      <c r="D21" s="132" t="s">
        <v>47</v>
      </c>
      <c r="E21" s="133" t="s">
        <v>48</v>
      </c>
      <c r="F21" s="130">
        <f>+F11+F14+F20</f>
        <v>1</v>
      </c>
      <c r="G21" s="134">
        <f>+G11+G14+G20</f>
        <v>21999.256107628527</v>
      </c>
      <c r="H21" s="113">
        <f>IFERROR(I21/G21,0)</f>
        <v>34.5</v>
      </c>
      <c r="I21" s="211">
        <f>+I11+I14+I20</f>
        <v>758974.33571318421</v>
      </c>
      <c r="J21" s="206">
        <f t="shared" si="7"/>
        <v>5882051.1017771773</v>
      </c>
      <c r="K21" s="207">
        <f t="shared" si="0"/>
        <v>1</v>
      </c>
      <c r="L21" s="46"/>
      <c r="M21" s="212">
        <f>+M11+M14+M20</f>
        <v>485</v>
      </c>
      <c r="N21" s="206">
        <f>IFERROR(J21/M21,0)</f>
        <v>12127.940416035417</v>
      </c>
      <c r="O21" s="11"/>
      <c r="P21" s="11"/>
      <c r="Q21" s="113">
        <f>IFERROR(R21/P21,0)</f>
        <v>0</v>
      </c>
      <c r="S21" s="113">
        <f>IFERROR(T21/R21,0)</f>
        <v>0</v>
      </c>
      <c r="U21" s="113">
        <f>IFERROR(V21/T21,0)</f>
        <v>0</v>
      </c>
    </row>
    <row r="22" spans="2:25" ht="7.25" customHeight="1" x14ac:dyDescent="0.2">
      <c r="F22" s="135"/>
      <c r="G22" s="136"/>
      <c r="H22" s="137"/>
      <c r="I22" s="137"/>
      <c r="J22" s="137"/>
      <c r="O22" s="11"/>
      <c r="P22" s="11"/>
    </row>
    <row r="23" spans="2:25" x14ac:dyDescent="0.2">
      <c r="E23" s="138" t="s">
        <v>49</v>
      </c>
      <c r="F23" s="139"/>
      <c r="G23" s="140">
        <f>+kilos_2023</f>
        <v>21999.256107628527</v>
      </c>
      <c r="H23" s="141">
        <f>+I23/G23</f>
        <v>263.93854339873627</v>
      </c>
      <c r="I23" s="213">
        <f>+J23/TC_2023</f>
        <v>5806451.6129032262</v>
      </c>
      <c r="J23" s="201">
        <f>+E5</f>
        <v>45000000</v>
      </c>
      <c r="K23" s="202">
        <f>J23/J21</f>
        <v>7.6503925622822111</v>
      </c>
      <c r="M23" s="79"/>
      <c r="N23" s="79"/>
      <c r="O23" s="11"/>
      <c r="P23" s="11"/>
    </row>
    <row r="24" spans="2:25" ht="6" customHeight="1" x14ac:dyDescent="0.2">
      <c r="E24" s="142"/>
      <c r="H24" s="143"/>
      <c r="O24" s="11"/>
    </row>
    <row r="25" spans="2:25" x14ac:dyDescent="0.2">
      <c r="E25" s="144" t="s">
        <v>50</v>
      </c>
      <c r="F25" s="145"/>
      <c r="G25" s="146">
        <f>+kilos_2023</f>
        <v>21999.256107628527</v>
      </c>
      <c r="H25" s="147">
        <f>+I25/G25</f>
        <v>-229.43854339873627</v>
      </c>
      <c r="I25" s="214">
        <f>+I21-I23</f>
        <v>-5047477.2771900417</v>
      </c>
      <c r="J25" s="215">
        <f>+J21-J23</f>
        <v>-39117948.898222819</v>
      </c>
      <c r="K25" s="216">
        <f>I25/I23</f>
        <v>-0.86928775329384045</v>
      </c>
      <c r="O25" s="11"/>
    </row>
    <row r="26" spans="2:25" ht="5.5" customHeight="1" x14ac:dyDescent="0.2">
      <c r="E26" s="142"/>
      <c r="H26" s="143"/>
      <c r="O26" s="11"/>
    </row>
    <row r="27" spans="2:25" ht="15" customHeight="1" x14ac:dyDescent="0.2">
      <c r="D27" s="148" t="s">
        <v>51</v>
      </c>
      <c r="E27" s="149" t="s">
        <v>52</v>
      </c>
      <c r="F27" s="150"/>
      <c r="G27" s="151">
        <f>+kilos_2023</f>
        <v>21999.256107628527</v>
      </c>
      <c r="H27" s="152">
        <f>+I27/G27</f>
        <v>0</v>
      </c>
      <c r="I27" s="217">
        <f>+Anexo1_Gtos_Compra!D11</f>
        <v>0</v>
      </c>
      <c r="J27" s="218">
        <f>+Anexo1_Gtos_Compra!C11</f>
        <v>0</v>
      </c>
      <c r="K27" s="219">
        <f t="shared" ref="K27:K33" si="8">+J27/$J$21</f>
        <v>0</v>
      </c>
      <c r="L27" s="292">
        <f>+K27+K28</f>
        <v>6.7340455420444078E-3</v>
      </c>
      <c r="O27" s="11"/>
    </row>
    <row r="28" spans="2:25" ht="15" customHeight="1" x14ac:dyDescent="0.2">
      <c r="D28" s="148" t="s">
        <v>53</v>
      </c>
      <c r="E28" s="149" t="s">
        <v>54</v>
      </c>
      <c r="F28" s="150"/>
      <c r="G28" s="151">
        <f>+kilos_2023</f>
        <v>21999.256107628527</v>
      </c>
      <c r="H28" s="152">
        <f>+I28/G28</f>
        <v>0.23232457120053207</v>
      </c>
      <c r="I28" s="217">
        <f>+Anexo2_maquila!D6</f>
        <v>5110.9677419354839</v>
      </c>
      <c r="J28" s="218">
        <f>+Anexo2_maquila!C6</f>
        <v>39610</v>
      </c>
      <c r="K28" s="219">
        <f t="shared" si="8"/>
        <v>6.7340455420444078E-3</v>
      </c>
      <c r="L28" s="293"/>
      <c r="O28" s="11"/>
      <c r="R28" s="11">
        <v>720</v>
      </c>
      <c r="S28" s="11">
        <f>R28/R38</f>
        <v>7.1999999999999995E-2</v>
      </c>
      <c r="T28" s="11">
        <f>S28*100</f>
        <v>7.2</v>
      </c>
    </row>
    <row r="29" spans="2:25" ht="15" customHeight="1" x14ac:dyDescent="0.2">
      <c r="D29" s="148" t="s">
        <v>55</v>
      </c>
      <c r="E29" s="149" t="s">
        <v>56</v>
      </c>
      <c r="F29" s="150"/>
      <c r="G29" s="151">
        <f>+M3</f>
        <v>1</v>
      </c>
      <c r="H29" s="152">
        <f>+Anexo3_Cont_20!G19</f>
        <v>0.61435300000000004</v>
      </c>
      <c r="I29" s="217">
        <f>+Anexo3_Cont_20!D19*G29</f>
        <v>6143.53</v>
      </c>
      <c r="J29" s="218">
        <f>+Anexo3_Cont_20!C19*G29</f>
        <v>47612.357499999998</v>
      </c>
      <c r="K29" s="219">
        <f t="shared" si="8"/>
        <v>8.0945161264604805E-3</v>
      </c>
      <c r="L29" s="281">
        <f>+K29+K30+K31+K32</f>
        <v>1.0869770127543511E-2</v>
      </c>
      <c r="O29" s="11"/>
      <c r="R29" s="11">
        <v>1240</v>
      </c>
      <c r="S29" s="11">
        <f>R29/R38</f>
        <v>0.124</v>
      </c>
      <c r="T29" s="11">
        <f t="shared" ref="T29:T37" si="9">S29*100</f>
        <v>12.4</v>
      </c>
    </row>
    <row r="30" spans="2:25" ht="15" customHeight="1" x14ac:dyDescent="0.2">
      <c r="D30" s="148" t="s">
        <v>55</v>
      </c>
      <c r="E30" s="149" t="s">
        <v>57</v>
      </c>
      <c r="F30" s="150"/>
      <c r="G30" s="151">
        <f>+N3</f>
        <v>10000</v>
      </c>
      <c r="H30" s="152">
        <f>+Anexo3_Cont_20!G32</f>
        <v>0.21063465619073493</v>
      </c>
      <c r="I30" s="217">
        <f>+G30*H30</f>
        <v>2106.3465619073495</v>
      </c>
      <c r="J30" s="218">
        <f>+I30*TC_2023</f>
        <v>16324.185854781959</v>
      </c>
      <c r="K30" s="219">
        <f t="shared" si="8"/>
        <v>2.7752540010830304E-3</v>
      </c>
      <c r="L30" s="282"/>
      <c r="O30" s="11"/>
      <c r="R30" s="11">
        <v>1280</v>
      </c>
      <c r="S30" s="11">
        <f>R30/R38</f>
        <v>0.128</v>
      </c>
      <c r="T30" s="11">
        <f t="shared" si="9"/>
        <v>12.8</v>
      </c>
    </row>
    <row r="31" spans="2:25" x14ac:dyDescent="0.2">
      <c r="D31" s="148" t="s">
        <v>58</v>
      </c>
      <c r="E31" s="149" t="s">
        <v>59</v>
      </c>
      <c r="F31" s="150"/>
      <c r="G31" s="151">
        <f>+M4</f>
        <v>0</v>
      </c>
      <c r="H31" s="152">
        <f>+Anexo4_Cont_40!G16</f>
        <v>0</v>
      </c>
      <c r="I31" s="217">
        <f>+J31/TC_2023</f>
        <v>0</v>
      </c>
      <c r="J31" s="218">
        <f>+Anexo4_Cont_40!C16*G31</f>
        <v>0</v>
      </c>
      <c r="K31" s="219">
        <f t="shared" si="8"/>
        <v>0</v>
      </c>
      <c r="L31" s="282"/>
      <c r="O31" s="11"/>
      <c r="R31" s="11">
        <v>800</v>
      </c>
      <c r="S31" s="11">
        <f>R31/R38</f>
        <v>0.08</v>
      </c>
      <c r="T31" s="11">
        <f t="shared" si="9"/>
        <v>8</v>
      </c>
    </row>
    <row r="32" spans="2:25" x14ac:dyDescent="0.2">
      <c r="D32" s="148" t="s">
        <v>58</v>
      </c>
      <c r="E32" s="149" t="s">
        <v>60</v>
      </c>
      <c r="F32" s="150"/>
      <c r="G32" s="151">
        <f>+N4</f>
        <v>0</v>
      </c>
      <c r="H32" s="152">
        <f>+Anexo4_Cont_40!G29</f>
        <v>0</v>
      </c>
      <c r="I32" s="217">
        <f>+J32/TC_2023</f>
        <v>0</v>
      </c>
      <c r="J32" s="218">
        <f>+Anexo4_Cont_40!C29</f>
        <v>0</v>
      </c>
      <c r="K32" s="219">
        <f t="shared" si="8"/>
        <v>0</v>
      </c>
      <c r="L32" s="283"/>
      <c r="O32" s="11"/>
      <c r="R32" s="11">
        <v>1200</v>
      </c>
      <c r="S32" s="11">
        <f>R32/R38</f>
        <v>0.12</v>
      </c>
      <c r="T32" s="11">
        <f t="shared" si="9"/>
        <v>12</v>
      </c>
    </row>
    <row r="33" spans="4:20" x14ac:dyDescent="0.2">
      <c r="D33" s="148" t="s">
        <v>61</v>
      </c>
      <c r="E33" s="149" t="s">
        <v>62</v>
      </c>
      <c r="F33" s="150"/>
      <c r="G33" s="151">
        <f>+kilos_2023</f>
        <v>21999.256107628527</v>
      </c>
      <c r="H33" s="152">
        <f>+I33/G33</f>
        <v>0.44832114715596993</v>
      </c>
      <c r="I33" s="217">
        <f>+Anexo5_Gtos_variables!E12</f>
        <v>9862.7317347499993</v>
      </c>
      <c r="J33" s="218">
        <f>+I33*7.8</f>
        <v>76929.307531049999</v>
      </c>
      <c r="K33" s="219">
        <f t="shared" si="8"/>
        <v>1.3078653381268129E-2</v>
      </c>
      <c r="L33" s="220">
        <f>+K33</f>
        <v>1.3078653381268129E-2</v>
      </c>
      <c r="O33" s="11"/>
      <c r="R33" s="11">
        <v>680</v>
      </c>
      <c r="S33" s="11">
        <f>R33/R38</f>
        <v>6.8000000000000005E-2</v>
      </c>
      <c r="T33" s="11">
        <f t="shared" si="9"/>
        <v>6.8</v>
      </c>
    </row>
    <row r="34" spans="4:20" x14ac:dyDescent="0.2">
      <c r="E34" s="142"/>
      <c r="H34" s="153"/>
      <c r="I34" s="137"/>
      <c r="L34" s="221"/>
      <c r="O34" s="11"/>
      <c r="R34" s="11">
        <v>1600</v>
      </c>
      <c r="S34" s="11">
        <f>R34/R38</f>
        <v>0.16</v>
      </c>
      <c r="T34" s="11">
        <f t="shared" si="9"/>
        <v>16</v>
      </c>
    </row>
    <row r="35" spans="4:20" x14ac:dyDescent="0.2">
      <c r="E35" s="154" t="s">
        <v>63</v>
      </c>
      <c r="F35" s="155"/>
      <c r="G35" s="156">
        <f>+kilos_2023</f>
        <v>21999.256107628527</v>
      </c>
      <c r="H35" s="157">
        <f>+I35/G35</f>
        <v>1.0556527877567532</v>
      </c>
      <c r="I35" s="222">
        <f>SUM(I27:I33)</f>
        <v>23223.576038592833</v>
      </c>
      <c r="J35" s="223">
        <f>SUM(J27:J33)</f>
        <v>180475.85088583195</v>
      </c>
      <c r="K35" s="224">
        <f>J35/J23</f>
        <v>4.0105744641295987E-3</v>
      </c>
      <c r="O35" s="11"/>
      <c r="R35" s="11">
        <v>1000</v>
      </c>
      <c r="S35" s="11">
        <f>R35/R38</f>
        <v>0.1</v>
      </c>
      <c r="T35" s="11">
        <f t="shared" si="9"/>
        <v>10</v>
      </c>
    </row>
    <row r="36" spans="4:20" ht="7.25" customHeight="1" x14ac:dyDescent="0.2">
      <c r="E36" s="142"/>
      <c r="H36" s="143"/>
      <c r="I36" s="137"/>
      <c r="O36" s="11"/>
      <c r="T36" s="11">
        <f t="shared" si="9"/>
        <v>0</v>
      </c>
    </row>
    <row r="37" spans="4:20" ht="19" x14ac:dyDescent="0.25">
      <c r="E37" s="158" t="s">
        <v>64</v>
      </c>
      <c r="F37" s="159"/>
      <c r="G37" s="160">
        <f>+kilos_2023</f>
        <v>21999.256107628527</v>
      </c>
      <c r="H37" s="161">
        <f>+I37/G37</f>
        <v>-230.49419618649301</v>
      </c>
      <c r="I37" s="225">
        <f>+I25-I35</f>
        <v>-5070700.8532286342</v>
      </c>
      <c r="J37" s="226">
        <f>+J25-J35</f>
        <v>-39298424.74910865</v>
      </c>
      <c r="K37" s="227">
        <f>J37/J23</f>
        <v>-0.87329832775797001</v>
      </c>
      <c r="N37" s="228" t="s">
        <v>65</v>
      </c>
      <c r="O37" s="11"/>
      <c r="R37" s="11">
        <v>1480</v>
      </c>
      <c r="S37" s="11">
        <f>R37/R38</f>
        <v>0.14799999999999999</v>
      </c>
      <c r="T37" s="11">
        <f t="shared" si="9"/>
        <v>14.8</v>
      </c>
    </row>
    <row r="38" spans="4:20" x14ac:dyDescent="0.2">
      <c r="H38" s="143"/>
      <c r="N38" s="229" t="s">
        <v>66</v>
      </c>
      <c r="O38" s="230" t="s">
        <v>67</v>
      </c>
      <c r="R38" s="11">
        <f>SUM(R28:R37)</f>
        <v>10000</v>
      </c>
    </row>
    <row r="39" spans="4:20" x14ac:dyDescent="0.2">
      <c r="D39" s="142"/>
      <c r="E39" s="149" t="s">
        <v>68</v>
      </c>
      <c r="F39" s="150"/>
      <c r="G39" s="162">
        <f>+kilos_2023</f>
        <v>21999.256107628527</v>
      </c>
      <c r="H39" s="152">
        <f>+I39/G39</f>
        <v>3.2299290150834024</v>
      </c>
      <c r="I39" s="231">
        <f>+J39/TC_2023</f>
        <v>71056.035612280131</v>
      </c>
      <c r="J39" s="232">
        <f>+O41</f>
        <v>550684.27599517105</v>
      </c>
      <c r="K39" s="233">
        <f>J39/J23</f>
        <v>1.2237428355448245E-2</v>
      </c>
      <c r="N39" s="234">
        <v>9.7500000000000003E-2</v>
      </c>
      <c r="O39" s="235">
        <v>1.5</v>
      </c>
    </row>
    <row r="40" spans="4:20" x14ac:dyDescent="0.2">
      <c r="E40" s="142"/>
      <c r="H40" s="143"/>
      <c r="N40" s="229" t="s">
        <v>69</v>
      </c>
      <c r="O40" s="229" t="s">
        <v>70</v>
      </c>
    </row>
    <row r="41" spans="4:20" ht="19" x14ac:dyDescent="0.25">
      <c r="E41" s="163" t="s">
        <v>71</v>
      </c>
      <c r="F41" s="159"/>
      <c r="G41" s="160">
        <f>+kilos_2023</f>
        <v>21999.256107628527</v>
      </c>
      <c r="H41" s="161">
        <f>+H37-H39</f>
        <v>-233.72412520157641</v>
      </c>
      <c r="I41" s="225">
        <f>+I37-I39</f>
        <v>-5141756.8888409147</v>
      </c>
      <c r="J41" s="226">
        <f>+J37-J39</f>
        <v>-39849109.025103822</v>
      </c>
      <c r="K41" s="236">
        <f>J41/J23</f>
        <v>-0.88553575611341828</v>
      </c>
      <c r="L41" s="70"/>
      <c r="N41" s="237">
        <f>+J23+J35+J43</f>
        <v>45184350.850885831</v>
      </c>
      <c r="O41" s="62">
        <f>+N41*N39/12*O39</f>
        <v>550684.27599517105</v>
      </c>
    </row>
    <row r="42" spans="4:20" x14ac:dyDescent="0.2">
      <c r="E42" s="142"/>
      <c r="H42" s="164"/>
    </row>
    <row r="43" spans="4:20" x14ac:dyDescent="0.2">
      <c r="E43" s="149" t="s">
        <v>72</v>
      </c>
      <c r="F43" s="150"/>
      <c r="G43" s="162">
        <f>+kilos_2023</f>
        <v>21999.256107628527</v>
      </c>
      <c r="H43" s="152">
        <f>+I43/G43</f>
        <v>2.2728041237113399E-2</v>
      </c>
      <c r="I43" s="231">
        <v>500</v>
      </c>
      <c r="J43" s="232">
        <f>+I43*TC_2023</f>
        <v>3875</v>
      </c>
      <c r="K43" s="233">
        <f>J43/J23</f>
        <v>8.6111111111111105E-5</v>
      </c>
    </row>
    <row r="44" spans="4:20" x14ac:dyDescent="0.2">
      <c r="E44" s="142"/>
      <c r="H44" s="164"/>
    </row>
    <row r="45" spans="4:20" ht="16" x14ac:dyDescent="0.2">
      <c r="E45" s="165" t="s">
        <v>73</v>
      </c>
      <c r="F45" s="166"/>
      <c r="G45" s="167">
        <f>+kilos_2023</f>
        <v>21999.256107628527</v>
      </c>
      <c r="H45" s="168">
        <f>+H41-H43</f>
        <v>-233.74685324281353</v>
      </c>
      <c r="I45" s="238">
        <f>+I41-I43</f>
        <v>-5142256.8888409147</v>
      </c>
      <c r="J45" s="239">
        <f>+J41-J43</f>
        <v>-39852984.025103822</v>
      </c>
      <c r="K45" s="240">
        <f>J45/J23</f>
        <v>-0.8856218672245294</v>
      </c>
      <c r="M45" s="228" t="s">
        <v>74</v>
      </c>
      <c r="O45" s="11"/>
    </row>
    <row r="46" spans="4:20" x14ac:dyDescent="0.2">
      <c r="H46" s="164"/>
      <c r="M46" s="241" t="s">
        <v>75</v>
      </c>
      <c r="N46" s="237">
        <f>+J23+J35+J39+J43</f>
        <v>45735035.126881003</v>
      </c>
      <c r="O46" s="242">
        <f>+N47/N46</f>
        <v>-0.87138850805604884</v>
      </c>
      <c r="P46" s="243" t="s">
        <v>76</v>
      </c>
      <c r="Q46" s="19"/>
    </row>
    <row r="47" spans="4:20" x14ac:dyDescent="0.2">
      <c r="E47" s="169" t="s">
        <v>77</v>
      </c>
      <c r="F47" s="170"/>
      <c r="G47" s="162">
        <f>+kilos_2023</f>
        <v>21999.256107628527</v>
      </c>
      <c r="H47" s="152">
        <f>+I47/G47</f>
        <v>-58.437436409327823</v>
      </c>
      <c r="I47" s="231">
        <f>+J47/TC_2023</f>
        <v>-1285580.1298420588</v>
      </c>
      <c r="J47" s="232">
        <f>+J45*0.25</f>
        <v>-9963246.0062759556</v>
      </c>
      <c r="K47" s="233">
        <f>J47/J23</f>
        <v>-0.22140546680613235</v>
      </c>
      <c r="M47" s="241" t="s">
        <v>78</v>
      </c>
      <c r="N47" s="237">
        <f>+J45</f>
        <v>-39852984.025103822</v>
      </c>
      <c r="O47" s="244">
        <f>+O46/O39*12</f>
        <v>-6.9711080644483907</v>
      </c>
      <c r="P47" s="243" t="s">
        <v>79</v>
      </c>
      <c r="Q47" s="19"/>
    </row>
    <row r="48" spans="4:20" x14ac:dyDescent="0.2">
      <c r="H48" s="164"/>
      <c r="O48" s="11"/>
      <c r="P48" s="11"/>
    </row>
    <row r="49" spans="4:17" ht="19" x14ac:dyDescent="0.25">
      <c r="E49" s="171" t="s">
        <v>80</v>
      </c>
      <c r="F49" s="172"/>
      <c r="G49" s="173">
        <f>+kilos_2023</f>
        <v>21999.256107628527</v>
      </c>
      <c r="H49" s="174">
        <f>+H45-H47</f>
        <v>-175.3094168334857</v>
      </c>
      <c r="I49" s="245">
        <f>+I45-I47</f>
        <v>-3856676.7589988559</v>
      </c>
      <c r="J49" s="246">
        <f>+J45-J47</f>
        <v>-29889738.018827867</v>
      </c>
      <c r="K49" s="247">
        <f>J49/J23</f>
        <v>-0.66421640041839702</v>
      </c>
      <c r="O49" s="11"/>
      <c r="P49" s="11"/>
      <c r="Q49" s="255" t="s">
        <v>81</v>
      </c>
    </row>
    <row r="50" spans="4:17" x14ac:dyDescent="0.2">
      <c r="N50" s="248">
        <f>N41+J39</f>
        <v>45735035.126881003</v>
      </c>
      <c r="O50" s="249">
        <f>N50/7.8</f>
        <v>5863466.0419078209</v>
      </c>
      <c r="P50" s="11"/>
      <c r="Q50" s="256">
        <f>O50/10000</f>
        <v>586.34660419078205</v>
      </c>
    </row>
    <row r="51" spans="4:17" x14ac:dyDescent="0.2">
      <c r="D51" s="175"/>
      <c r="E51" s="176" t="s">
        <v>82</v>
      </c>
      <c r="H51" s="75">
        <f>H35+H39+H43+H47</f>
        <v>-54.129126565250552</v>
      </c>
      <c r="I51" s="79"/>
      <c r="O51" s="11"/>
      <c r="P51" s="11"/>
    </row>
    <row r="52" spans="4:17" x14ac:dyDescent="0.2">
      <c r="D52" s="175"/>
      <c r="E52" s="177">
        <f>H51/1</f>
        <v>-54.129126565250552</v>
      </c>
      <c r="K52" s="250"/>
      <c r="O52" s="11"/>
      <c r="P52" s="11"/>
    </row>
    <row r="53" spans="4:17" x14ac:dyDescent="0.2">
      <c r="D53" s="175"/>
      <c r="K53" s="26"/>
      <c r="O53" s="11"/>
      <c r="P53" s="11"/>
    </row>
    <row r="54" spans="4:17" x14ac:dyDescent="0.2">
      <c r="D54" s="175"/>
      <c r="O54" s="11"/>
      <c r="P54" s="11"/>
    </row>
    <row r="55" spans="4:17" x14ac:dyDescent="0.2">
      <c r="O55" s="11"/>
    </row>
    <row r="56" spans="4:17" x14ac:dyDescent="0.2">
      <c r="O56" s="11"/>
    </row>
    <row r="57" spans="4:17" x14ac:dyDescent="0.2">
      <c r="O57" s="11"/>
    </row>
    <row r="58" spans="4:17" x14ac:dyDescent="0.2">
      <c r="O58" s="11"/>
    </row>
    <row r="59" spans="4:17" x14ac:dyDescent="0.2">
      <c r="O59" s="11"/>
    </row>
    <row r="60" spans="4:17" x14ac:dyDescent="0.2">
      <c r="O60" s="11"/>
    </row>
    <row r="61" spans="4:17" x14ac:dyDescent="0.2">
      <c r="O61" s="11"/>
    </row>
    <row r="62" spans="4:17" x14ac:dyDescent="0.2">
      <c r="O62" s="11"/>
    </row>
    <row r="63" spans="4:17" x14ac:dyDescent="0.2">
      <c r="O63" s="11"/>
    </row>
    <row r="64" spans="4:17" x14ac:dyDescent="0.2">
      <c r="O64" s="11"/>
    </row>
    <row r="65" spans="8:15" x14ac:dyDescent="0.2">
      <c r="O65" s="11"/>
    </row>
    <row r="66" spans="8:15" x14ac:dyDescent="0.2">
      <c r="O66" s="11"/>
    </row>
    <row r="67" spans="8:15" s="26" customFormat="1" x14ac:dyDescent="0.2"/>
    <row r="68" spans="8:15" x14ac:dyDescent="0.2">
      <c r="H68" s="58"/>
    </row>
    <row r="69" spans="8:15" x14ac:dyDescent="0.2">
      <c r="H69" s="58"/>
    </row>
    <row r="70" spans="8:15" x14ac:dyDescent="0.2">
      <c r="H70" s="58"/>
    </row>
    <row r="71" spans="8:15" x14ac:dyDescent="0.2">
      <c r="H71" s="58"/>
    </row>
    <row r="72" spans="8:15" x14ac:dyDescent="0.2">
      <c r="H72" s="58"/>
    </row>
    <row r="73" spans="8:15" x14ac:dyDescent="0.2">
      <c r="H73" s="58"/>
    </row>
    <row r="74" spans="8:15" x14ac:dyDescent="0.2">
      <c r="H74" s="58"/>
    </row>
    <row r="75" spans="8:15" x14ac:dyDescent="0.2">
      <c r="H75" s="58"/>
    </row>
    <row r="76" spans="8:15" x14ac:dyDescent="0.2">
      <c r="H76" s="58"/>
    </row>
    <row r="77" spans="8:15" x14ac:dyDescent="0.2">
      <c r="H77" s="58"/>
    </row>
    <row r="78" spans="8:15" x14ac:dyDescent="0.2">
      <c r="H78" s="58"/>
    </row>
    <row r="79" spans="8:15" x14ac:dyDescent="0.2">
      <c r="H79" s="58"/>
    </row>
    <row r="80" spans="8:15" x14ac:dyDescent="0.2">
      <c r="H80" s="58"/>
    </row>
    <row r="81" spans="8:8" x14ac:dyDescent="0.2">
      <c r="H81" s="58"/>
    </row>
    <row r="82" spans="8:8" x14ac:dyDescent="0.2">
      <c r="H82" s="70"/>
    </row>
    <row r="83" spans="8:8" x14ac:dyDescent="0.2">
      <c r="H83" s="70"/>
    </row>
    <row r="84" spans="8:8" x14ac:dyDescent="0.2">
      <c r="H84" s="58"/>
    </row>
    <row r="85" spans="8:8" x14ac:dyDescent="0.2">
      <c r="H85" s="58"/>
    </row>
    <row r="86" spans="8:8" x14ac:dyDescent="0.2">
      <c r="H86" s="58"/>
    </row>
    <row r="87" spans="8:8" x14ac:dyDescent="0.2">
      <c r="H87" s="58"/>
    </row>
    <row r="88" spans="8:8" x14ac:dyDescent="0.2">
      <c r="H88" s="58"/>
    </row>
    <row r="89" spans="8:8" x14ac:dyDescent="0.2">
      <c r="H89" s="58"/>
    </row>
    <row r="90" spans="8:8" x14ac:dyDescent="0.2">
      <c r="H90" s="58"/>
    </row>
    <row r="91" spans="8:8" x14ac:dyDescent="0.2">
      <c r="H91" s="58"/>
    </row>
    <row r="92" spans="8:8" x14ac:dyDescent="0.2">
      <c r="H92" s="58"/>
    </row>
    <row r="93" spans="8:8" x14ac:dyDescent="0.2">
      <c r="H93" s="58"/>
    </row>
    <row r="94" spans="8:8" x14ac:dyDescent="0.2">
      <c r="H94" s="58"/>
    </row>
    <row r="95" spans="8:8" x14ac:dyDescent="0.2">
      <c r="H95" s="58"/>
    </row>
    <row r="96" spans="8:8" x14ac:dyDescent="0.2">
      <c r="H96" s="58"/>
    </row>
    <row r="97" spans="6:15" x14ac:dyDescent="0.2">
      <c r="H97" s="70"/>
    </row>
    <row r="98" spans="6:15" x14ac:dyDescent="0.2">
      <c r="F98" s="56"/>
      <c r="G98" s="12"/>
      <c r="H98" s="70"/>
    </row>
    <row r="99" spans="6:15" x14ac:dyDescent="0.2">
      <c r="F99" s="56"/>
      <c r="G99" s="12"/>
      <c r="H99" s="70"/>
    </row>
    <row r="100" spans="6:15" x14ac:dyDescent="0.2">
      <c r="F100" s="56"/>
      <c r="G100" s="12"/>
      <c r="H100" s="70"/>
    </row>
    <row r="101" spans="6:15" x14ac:dyDescent="0.2">
      <c r="F101" s="56"/>
      <c r="G101" s="12"/>
      <c r="H101" s="70"/>
    </row>
    <row r="102" spans="6:15" x14ac:dyDescent="0.2">
      <c r="F102" s="56"/>
      <c r="G102" s="12"/>
      <c r="H102" s="70"/>
    </row>
    <row r="103" spans="6:15" x14ac:dyDescent="0.2">
      <c r="F103" s="56"/>
      <c r="G103" s="12"/>
      <c r="H103" s="70"/>
    </row>
    <row r="104" spans="6:15" x14ac:dyDescent="0.2">
      <c r="F104" s="56"/>
      <c r="G104" s="12"/>
      <c r="H104" s="70"/>
    </row>
    <row r="105" spans="6:15" x14ac:dyDescent="0.2">
      <c r="F105" s="56"/>
      <c r="G105" s="12"/>
      <c r="H105" s="70"/>
    </row>
    <row r="106" spans="6:15" x14ac:dyDescent="0.2">
      <c r="F106" s="46"/>
      <c r="G106" s="12"/>
      <c r="H106" s="265"/>
    </row>
    <row r="107" spans="6:15" x14ac:dyDescent="0.2">
      <c r="F107" s="46"/>
      <c r="G107" s="12"/>
      <c r="H107" s="265"/>
      <c r="N107" s="12"/>
      <c r="O107" s="11"/>
    </row>
    <row r="108" spans="6:15" x14ac:dyDescent="0.2">
      <c r="F108" s="46"/>
      <c r="G108" s="12"/>
      <c r="H108" s="265"/>
      <c r="N108" s="12"/>
      <c r="O108" s="11"/>
    </row>
    <row r="109" spans="6:15" x14ac:dyDescent="0.2">
      <c r="G109" s="12"/>
      <c r="H109" s="265"/>
      <c r="N109" s="12"/>
      <c r="O109" s="11"/>
    </row>
    <row r="110" spans="6:15" x14ac:dyDescent="0.2">
      <c r="H110" s="265"/>
      <c r="O110" s="11"/>
    </row>
    <row r="111" spans="6:15" x14ac:dyDescent="0.2">
      <c r="H111" s="265"/>
      <c r="O111" s="11"/>
    </row>
    <row r="112" spans="6:15" x14ac:dyDescent="0.2">
      <c r="H112" s="265"/>
      <c r="O112" s="11"/>
    </row>
    <row r="113" spans="8:15" x14ac:dyDescent="0.2">
      <c r="H113" s="265"/>
      <c r="O113" s="11"/>
    </row>
    <row r="114" spans="8:15" x14ac:dyDescent="0.2">
      <c r="H114" s="265"/>
      <c r="O114" s="11"/>
    </row>
    <row r="115" spans="8:15" x14ac:dyDescent="0.2">
      <c r="H115" s="265"/>
      <c r="O115" s="11"/>
    </row>
    <row r="116" spans="8:15" x14ac:dyDescent="0.2">
      <c r="H116" s="265"/>
      <c r="O116" s="11"/>
    </row>
    <row r="117" spans="8:15" x14ac:dyDescent="0.2">
      <c r="H117" s="265"/>
      <c r="O117" s="11"/>
    </row>
    <row r="118" spans="8:15" x14ac:dyDescent="0.2">
      <c r="H118" s="265"/>
      <c r="O118" s="11"/>
    </row>
    <row r="119" spans="8:15" x14ac:dyDescent="0.2">
      <c r="H119" s="265"/>
      <c r="O119" s="11"/>
    </row>
    <row r="120" spans="8:15" x14ac:dyDescent="0.2">
      <c r="H120" s="265"/>
      <c r="O120" s="11"/>
    </row>
    <row r="121" spans="8:15" x14ac:dyDescent="0.2">
      <c r="H121" s="265"/>
      <c r="O121" s="11"/>
    </row>
    <row r="122" spans="8:15" x14ac:dyDescent="0.2">
      <c r="H122" s="265"/>
      <c r="O122" s="11"/>
    </row>
  </sheetData>
  <mergeCells count="6">
    <mergeCell ref="L29:L32"/>
    <mergeCell ref="C8:C11"/>
    <mergeCell ref="C12:C14"/>
    <mergeCell ref="D8:D11"/>
    <mergeCell ref="D12:D13"/>
    <mergeCell ref="L27:L28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22"/>
  <sheetViews>
    <sheetView showGridLines="0" zoomScale="110" zoomScaleNormal="110" workbookViewId="0">
      <selection activeCell="F6" sqref="F6"/>
    </sheetView>
  </sheetViews>
  <sheetFormatPr baseColWidth="10" defaultColWidth="11.5" defaultRowHeight="15" x14ac:dyDescent="0.2"/>
  <cols>
    <col min="1" max="1" width="2.5" style="11" customWidth="1"/>
    <col min="2" max="2" width="13.33203125" style="11" customWidth="1"/>
    <col min="3" max="3" width="13.1640625" style="11" customWidth="1"/>
    <col min="4" max="4" width="14.1640625" style="11" customWidth="1"/>
    <col min="5" max="5" width="29.6640625" style="11" customWidth="1"/>
    <col min="6" max="6" width="13.5" style="11" customWidth="1"/>
    <col min="7" max="7" width="14.83203125" style="11" customWidth="1"/>
    <col min="8" max="8" width="16.5" style="75" customWidth="1"/>
    <col min="9" max="9" width="16.33203125" style="11" customWidth="1"/>
    <col min="10" max="10" width="19.5" style="11" customWidth="1"/>
    <col min="11" max="11" width="11.6640625" style="11" customWidth="1"/>
    <col min="12" max="12" width="12.1640625" style="11" customWidth="1"/>
    <col min="13" max="13" width="10.33203125" style="11" customWidth="1"/>
    <col min="14" max="14" width="35.6640625" style="11"/>
    <col min="15" max="15" width="13.5"/>
    <col min="16" max="16" width="3.1640625" style="53" customWidth="1"/>
    <col min="17" max="17" width="15.5" style="11"/>
    <col min="18" max="18" width="16.83203125" style="11" customWidth="1"/>
    <col min="19" max="19" width="11.83203125" style="11" customWidth="1"/>
    <col min="20" max="20" width="12.5" style="11" customWidth="1"/>
    <col min="21" max="23" width="11.6640625" style="11" customWidth="1"/>
    <col min="24" max="24" width="12.5" style="11" customWidth="1"/>
    <col min="25" max="25" width="11.6640625" style="11" customWidth="1"/>
    <col min="26" max="26" width="5" style="11" customWidth="1"/>
    <col min="27" max="16384" width="11.5" style="11"/>
  </cols>
  <sheetData>
    <row r="1" spans="2:25" ht="24" x14ac:dyDescent="0.3">
      <c r="B1" s="76" t="s">
        <v>0</v>
      </c>
      <c r="C1" s="77">
        <v>45307</v>
      </c>
    </row>
    <row r="2" spans="2:25" ht="19" x14ac:dyDescent="0.25">
      <c r="B2" s="78" t="s">
        <v>1</v>
      </c>
      <c r="D2" s="79"/>
      <c r="E2" s="79"/>
      <c r="F2" s="80" t="s">
        <v>2</v>
      </c>
      <c r="G2" s="81">
        <f>+K45</f>
        <v>0.30172473480766998</v>
      </c>
      <c r="H2" s="82">
        <f>+I45</f>
        <v>72633.29577654638</v>
      </c>
      <c r="I2" s="178">
        <f>+J41</f>
        <v>566289.90568149684</v>
      </c>
      <c r="J2" s="179"/>
      <c r="K2" s="180" t="s">
        <v>3</v>
      </c>
      <c r="L2" s="179"/>
      <c r="M2" s="179"/>
      <c r="N2" s="179"/>
    </row>
    <row r="3" spans="2:25" x14ac:dyDescent="0.2">
      <c r="B3" s="83"/>
      <c r="C3" s="84"/>
      <c r="F3" s="85" t="s">
        <v>4</v>
      </c>
      <c r="J3" s="181" t="s">
        <v>5</v>
      </c>
      <c r="K3" s="181"/>
      <c r="L3" s="181"/>
      <c r="M3" s="182">
        <v>1</v>
      </c>
      <c r="N3" s="183">
        <v>10000</v>
      </c>
    </row>
    <row r="4" spans="2:25" ht="16" x14ac:dyDescent="0.2">
      <c r="C4" s="86">
        <v>100</v>
      </c>
      <c r="D4" s="23" t="s">
        <v>6</v>
      </c>
      <c r="E4" s="23" t="s">
        <v>7</v>
      </c>
      <c r="F4" s="23" t="s">
        <v>8</v>
      </c>
      <c r="G4" s="87" t="s">
        <v>9</v>
      </c>
      <c r="H4" s="23" t="s">
        <v>10</v>
      </c>
      <c r="I4" s="23" t="s">
        <v>11</v>
      </c>
      <c r="J4" s="181" t="s">
        <v>12</v>
      </c>
      <c r="K4" s="181"/>
      <c r="L4" s="181"/>
      <c r="M4" s="184">
        <v>0</v>
      </c>
      <c r="N4" s="185">
        <v>0</v>
      </c>
      <c r="P4" s="11"/>
    </row>
    <row r="5" spans="2:25" ht="16" x14ac:dyDescent="0.2">
      <c r="B5" s="87" t="s">
        <v>13</v>
      </c>
      <c r="C5" s="269">
        <v>233</v>
      </c>
      <c r="D5" s="270">
        <v>8000</v>
      </c>
      <c r="E5" s="90">
        <f>+quintales_2023*D5</f>
        <v>1864000</v>
      </c>
      <c r="F5" s="270">
        <v>7.75</v>
      </c>
      <c r="G5" s="91">
        <f>+E5/TC_2023</f>
        <v>240516.12903225806</v>
      </c>
      <c r="H5" s="92">
        <f>C5*D6*0.97</f>
        <v>10396.459999999999</v>
      </c>
      <c r="I5" s="186">
        <f>+G5/kilos_2023</f>
        <v>23.134425471002444</v>
      </c>
      <c r="J5" s="187" t="s">
        <v>14</v>
      </c>
      <c r="K5" s="181"/>
      <c r="L5" s="181"/>
      <c r="M5" s="188">
        <f>+SUM(M3:M4)</f>
        <v>1</v>
      </c>
      <c r="N5" s="189">
        <f>SUM(N3:N4)</f>
        <v>10000</v>
      </c>
      <c r="Q5" s="11" t="s">
        <v>15</v>
      </c>
      <c r="S5" s="11" t="s">
        <v>15</v>
      </c>
      <c r="U5" s="11" t="s">
        <v>16</v>
      </c>
    </row>
    <row r="6" spans="2:25" ht="32" x14ac:dyDescent="0.2">
      <c r="C6" s="11">
        <v>1</v>
      </c>
      <c r="D6" s="11">
        <v>46</v>
      </c>
      <c r="G6" s="93" t="s">
        <v>17</v>
      </c>
      <c r="H6" s="75">
        <v>0.03</v>
      </c>
      <c r="P6" s="11"/>
      <c r="Q6" s="11" t="s">
        <v>18</v>
      </c>
      <c r="S6" s="11" t="s">
        <v>19</v>
      </c>
      <c r="U6" s="11" t="s">
        <v>20</v>
      </c>
      <c r="W6" s="251" t="s">
        <v>21</v>
      </c>
      <c r="X6" s="252" t="s">
        <v>22</v>
      </c>
      <c r="Y6" s="257" t="s">
        <v>23</v>
      </c>
    </row>
    <row r="7" spans="2:25" x14ac:dyDescent="0.2">
      <c r="B7" s="94" t="s">
        <v>24</v>
      </c>
      <c r="C7" s="95" t="s">
        <v>25</v>
      </c>
      <c r="D7" s="96" t="s">
        <v>23</v>
      </c>
      <c r="E7" s="97" t="s">
        <v>26</v>
      </c>
      <c r="F7" s="98" t="s">
        <v>27</v>
      </c>
      <c r="G7" s="98" t="s">
        <v>28</v>
      </c>
      <c r="H7" s="98" t="s">
        <v>29</v>
      </c>
      <c r="I7" s="190" t="s">
        <v>30</v>
      </c>
      <c r="J7" s="98" t="s">
        <v>31</v>
      </c>
      <c r="K7" s="191" t="s">
        <v>32</v>
      </c>
      <c r="M7" s="192" t="s">
        <v>33</v>
      </c>
      <c r="N7" s="193" t="s">
        <v>6</v>
      </c>
      <c r="P7" s="11"/>
      <c r="Q7" s="98" t="s">
        <v>29</v>
      </c>
      <c r="S7" s="98" t="s">
        <v>29</v>
      </c>
      <c r="U7" s="98" t="s">
        <v>29</v>
      </c>
      <c r="W7" s="71"/>
      <c r="X7" s="17"/>
      <c r="Y7" s="258"/>
    </row>
    <row r="8" spans="2:25" x14ac:dyDescent="0.2">
      <c r="B8" s="99">
        <f>+G8/'46k'!k_2023</f>
        <v>0.2</v>
      </c>
      <c r="C8" s="284">
        <f>SUM(F8+F9+F10)</f>
        <v>0.55000000000000004</v>
      </c>
      <c r="D8" s="288" t="s">
        <v>34</v>
      </c>
      <c r="E8" s="275" t="s">
        <v>35</v>
      </c>
      <c r="F8" s="101">
        <v>0.2</v>
      </c>
      <c r="G8" s="102">
        <f>k_2023*F8</f>
        <v>2079.2919999999999</v>
      </c>
      <c r="H8" s="103">
        <v>38.5</v>
      </c>
      <c r="I8" s="194">
        <f t="shared" ref="I8:I10" si="0">+H8*G8</f>
        <v>80052.741999999998</v>
      </c>
      <c r="J8" s="195">
        <f>+I8*TC_2023</f>
        <v>620408.75049999997</v>
      </c>
      <c r="K8" s="196">
        <f t="shared" ref="K8:K21" si="1">+J8/$J$21</f>
        <v>0.2353840275124188</v>
      </c>
      <c r="L8" s="197">
        <f t="shared" ref="L8:L10" si="2">+G8/40</f>
        <v>51.982299999999995</v>
      </c>
      <c r="M8" s="198">
        <f t="shared" ref="M8:M10" si="3">+G8*2.20462/100</f>
        <v>45.840487290399999</v>
      </c>
      <c r="N8" s="199">
        <f>+H8*46*TC_2023</f>
        <v>13725.25</v>
      </c>
      <c r="Q8" s="103">
        <v>21.5</v>
      </c>
      <c r="S8" s="103">
        <v>22.5</v>
      </c>
      <c r="U8" s="103">
        <v>16.649999999999999</v>
      </c>
      <c r="W8" s="30">
        <v>40</v>
      </c>
      <c r="X8" s="253">
        <f t="shared" ref="X8:X10" si="4">+G8/W8</f>
        <v>51.982299999999995</v>
      </c>
      <c r="Y8" s="259" t="s">
        <v>35</v>
      </c>
    </row>
    <row r="9" spans="2:25" x14ac:dyDescent="0.2">
      <c r="B9" s="104">
        <f>+G9/'46k'!k_2023</f>
        <v>0.2</v>
      </c>
      <c r="C9" s="284"/>
      <c r="D9" s="288"/>
      <c r="E9" s="276" t="s">
        <v>36</v>
      </c>
      <c r="F9" s="106">
        <v>0.2</v>
      </c>
      <c r="G9" s="107">
        <f>k_2023*F9</f>
        <v>2079.2919999999999</v>
      </c>
      <c r="H9" s="108">
        <f>H8-2</f>
        <v>36.5</v>
      </c>
      <c r="I9" s="200">
        <f t="shared" si="0"/>
        <v>75894.157999999996</v>
      </c>
      <c r="J9" s="201">
        <f>+I9*TC_2023</f>
        <v>588179.72450000001</v>
      </c>
      <c r="K9" s="202">
        <f t="shared" si="1"/>
        <v>0.223156285823462</v>
      </c>
      <c r="L9" s="197">
        <f t="shared" si="2"/>
        <v>51.982299999999995</v>
      </c>
      <c r="M9" s="198">
        <f t="shared" si="3"/>
        <v>45.840487290399999</v>
      </c>
      <c r="N9" s="199">
        <f>+H9*46*TC_2023</f>
        <v>13012.25</v>
      </c>
      <c r="Q9" s="108">
        <f>+Q8-1</f>
        <v>20.5</v>
      </c>
      <c r="S9" s="108">
        <f>+S8-1.5</f>
        <v>21</v>
      </c>
      <c r="U9" s="108">
        <f>+U8-1.5</f>
        <v>15.15</v>
      </c>
      <c r="W9" s="30">
        <v>40</v>
      </c>
      <c r="X9" s="253">
        <f t="shared" si="4"/>
        <v>51.982299999999995</v>
      </c>
      <c r="Y9" s="259" t="s">
        <v>36</v>
      </c>
    </row>
    <row r="10" spans="2:25" x14ac:dyDescent="0.2">
      <c r="B10" s="104">
        <f>+G10/'46k'!k_2023</f>
        <v>0.15</v>
      </c>
      <c r="C10" s="284"/>
      <c r="D10" s="288"/>
      <c r="E10" s="276" t="s">
        <v>37</v>
      </c>
      <c r="F10" s="106">
        <v>0.15</v>
      </c>
      <c r="G10" s="109">
        <f>k_2023*F10</f>
        <v>1559.4689999999998</v>
      </c>
      <c r="H10" s="110">
        <f>H9-2.5</f>
        <v>34</v>
      </c>
      <c r="I10" s="203">
        <f t="shared" si="0"/>
        <v>53021.945999999996</v>
      </c>
      <c r="J10" s="201">
        <f>+I10*TC_2023</f>
        <v>410920.08149999997</v>
      </c>
      <c r="K10" s="202">
        <f t="shared" si="1"/>
        <v>0.15590370653419947</v>
      </c>
      <c r="L10" s="197">
        <f t="shared" si="2"/>
        <v>38.986724999999993</v>
      </c>
      <c r="M10" s="204">
        <f t="shared" si="3"/>
        <v>34.38036546779999</v>
      </c>
      <c r="N10" s="205">
        <f>+H10*46*TC_2023</f>
        <v>12121</v>
      </c>
      <c r="Q10" s="110">
        <f>+Q8-3</f>
        <v>18.5</v>
      </c>
      <c r="S10" s="110">
        <f>+S8-3.5</f>
        <v>19</v>
      </c>
      <c r="U10" s="110">
        <f>+U8-3.5</f>
        <v>13.15</v>
      </c>
      <c r="W10" s="30">
        <v>40</v>
      </c>
      <c r="X10" s="253">
        <f t="shared" si="4"/>
        <v>38.986724999999993</v>
      </c>
      <c r="Y10" s="259" t="s">
        <v>37</v>
      </c>
    </row>
    <row r="11" spans="2:25" x14ac:dyDescent="0.2">
      <c r="B11" s="111">
        <f>+G11/'46k'!k_2023</f>
        <v>0.55000000000000004</v>
      </c>
      <c r="C11" s="285"/>
      <c r="D11" s="289"/>
      <c r="E11" s="111"/>
      <c r="F11" s="111">
        <f>+C8</f>
        <v>0.55000000000000004</v>
      </c>
      <c r="G11" s="112">
        <f t="shared" ref="G11:J11" si="5">SUM(G8:G10)</f>
        <v>5718.0529999999999</v>
      </c>
      <c r="H11" s="113">
        <f>IFERROR(I11/G11,0)</f>
        <v>36.545454545454547</v>
      </c>
      <c r="I11" s="113">
        <f t="shared" si="5"/>
        <v>208968.84599999999</v>
      </c>
      <c r="J11" s="206">
        <f t="shared" si="5"/>
        <v>1619508.5564999999</v>
      </c>
      <c r="K11" s="207">
        <f t="shared" si="1"/>
        <v>0.61444401987008024</v>
      </c>
      <c r="L11" s="197"/>
      <c r="M11" s="112">
        <f>SUM(M8:M10)</f>
        <v>126.06134004859999</v>
      </c>
      <c r="N11" s="206">
        <f>IFERROR(J11/M11,0)</f>
        <v>12846.988266788505</v>
      </c>
      <c r="Q11" s="113">
        <f t="shared" ref="Q11:U11" si="6">IFERROR(R11/P11,0)</f>
        <v>0</v>
      </c>
      <c r="S11" s="113">
        <f t="shared" si="6"/>
        <v>0</v>
      </c>
      <c r="U11" s="113">
        <f t="shared" si="6"/>
        <v>0</v>
      </c>
      <c r="W11" s="30"/>
      <c r="X11" s="253"/>
      <c r="Y11" s="260"/>
    </row>
    <row r="12" spans="2:25" x14ac:dyDescent="0.2">
      <c r="B12" s="104">
        <f>+G12/'46k'!k_2023</f>
        <v>0.08</v>
      </c>
      <c r="C12" s="286">
        <f>F12+F13</f>
        <v>0.16</v>
      </c>
      <c r="D12" s="290" t="s">
        <v>38</v>
      </c>
      <c r="E12" s="277" t="s">
        <v>39</v>
      </c>
      <c r="F12" s="106">
        <v>0.08</v>
      </c>
      <c r="G12" s="107">
        <f>k_2023*F12</f>
        <v>831.71679999999992</v>
      </c>
      <c r="H12" s="108">
        <f>H10+2</f>
        <v>36</v>
      </c>
      <c r="I12" s="200">
        <f t="shared" ref="I12:I19" si="7">+H12*G12</f>
        <v>29941.804799999998</v>
      </c>
      <c r="J12" s="201">
        <f>+I12*TC_2023</f>
        <v>232048.98719999997</v>
      </c>
      <c r="K12" s="202">
        <f t="shared" si="1"/>
        <v>8.8039740160489099E-2</v>
      </c>
      <c r="L12" s="197">
        <f t="shared" ref="L12:L19" si="8">+G12/40</f>
        <v>20.792919999999999</v>
      </c>
      <c r="M12" s="208">
        <f t="shared" ref="M12:M19" si="9">+G12*2.20462/100</f>
        <v>18.336194916159997</v>
      </c>
      <c r="N12" s="209">
        <f>+H12*46*TC_2023</f>
        <v>12834</v>
      </c>
      <c r="Q12" s="108">
        <f t="shared" ref="Q12:U12" si="10">+Q8-2.5</f>
        <v>19</v>
      </c>
      <c r="R12" s="53"/>
      <c r="S12" s="108">
        <f t="shared" si="10"/>
        <v>20</v>
      </c>
      <c r="U12" s="108">
        <f t="shared" si="10"/>
        <v>14.15</v>
      </c>
      <c r="W12" s="30">
        <v>40</v>
      </c>
      <c r="X12" s="253">
        <f t="shared" ref="X12:X19" si="11">+G12/W12</f>
        <v>20.792919999999999</v>
      </c>
      <c r="Y12" s="259" t="s">
        <v>39</v>
      </c>
    </row>
    <row r="13" spans="2:25" x14ac:dyDescent="0.2">
      <c r="B13" s="104">
        <f>+G13/'46k'!k_2023</f>
        <v>0.08</v>
      </c>
      <c r="C13" s="284"/>
      <c r="D13" s="291"/>
      <c r="E13" s="278" t="s">
        <v>40</v>
      </c>
      <c r="F13" s="106">
        <v>0.08</v>
      </c>
      <c r="G13" s="109">
        <f>k_2023*F13</f>
        <v>831.71679999999992</v>
      </c>
      <c r="H13" s="110">
        <f>H12-5.25</f>
        <v>30.75</v>
      </c>
      <c r="I13" s="203">
        <f t="shared" si="7"/>
        <v>25575.291599999997</v>
      </c>
      <c r="J13" s="201">
        <f>+I13*TC_2023</f>
        <v>198208.50989999998</v>
      </c>
      <c r="K13" s="202">
        <f t="shared" si="1"/>
        <v>7.5200611387084448E-2</v>
      </c>
      <c r="L13" s="197">
        <f t="shared" si="8"/>
        <v>20.792919999999999</v>
      </c>
      <c r="M13" s="204">
        <f t="shared" si="9"/>
        <v>18.336194916159997</v>
      </c>
      <c r="N13" s="205">
        <f>+H13*46*TC_2023</f>
        <v>10962.375</v>
      </c>
      <c r="Q13" s="110">
        <f>+Q8-4.5</f>
        <v>17</v>
      </c>
      <c r="R13" s="53"/>
      <c r="S13" s="110">
        <f>+S8-3.75</f>
        <v>18.75</v>
      </c>
      <c r="U13" s="110">
        <f>+U8-4.5</f>
        <v>12.15</v>
      </c>
      <c r="W13" s="30">
        <v>40</v>
      </c>
      <c r="X13" s="253">
        <f t="shared" si="11"/>
        <v>20.792919999999999</v>
      </c>
      <c r="Y13" s="261" t="s">
        <v>40</v>
      </c>
    </row>
    <row r="14" spans="2:25" x14ac:dyDescent="0.2">
      <c r="B14" s="111">
        <f>+G14/'46k'!k_2023</f>
        <v>0.16</v>
      </c>
      <c r="C14" s="287"/>
      <c r="D14" s="115">
        <f>+(I11+I14)/E14</f>
        <v>35.83098591549296</v>
      </c>
      <c r="E14" s="116">
        <f>+G11+G14</f>
        <v>7381.4866000000002</v>
      </c>
      <c r="F14" s="111">
        <f>+C12</f>
        <v>0.16</v>
      </c>
      <c r="G14" s="112">
        <f t="shared" ref="G14:J14" si="12">SUM(G12:G13)</f>
        <v>1663.4335999999998</v>
      </c>
      <c r="H14" s="113">
        <f>IFERROR(I14/G14,0)</f>
        <v>33.375</v>
      </c>
      <c r="I14" s="113">
        <f t="shared" si="12"/>
        <v>55517.096399999995</v>
      </c>
      <c r="J14" s="206">
        <f t="shared" si="12"/>
        <v>430257.49709999992</v>
      </c>
      <c r="K14" s="207">
        <f t="shared" si="1"/>
        <v>0.16324035154757355</v>
      </c>
      <c r="L14" s="197"/>
      <c r="M14" s="112">
        <f>SUM(M12:M13)</f>
        <v>36.672389832319993</v>
      </c>
      <c r="N14" s="206">
        <f>IFERROR(J14/M14,0)</f>
        <v>11732.464098121218</v>
      </c>
      <c r="P14" s="11"/>
      <c r="Q14" s="113">
        <f t="shared" ref="Q14:U14" si="13">IFERROR(R14/P14,0)</f>
        <v>0</v>
      </c>
      <c r="S14" s="113">
        <f t="shared" si="13"/>
        <v>0</v>
      </c>
      <c r="U14" s="113">
        <f t="shared" si="13"/>
        <v>0</v>
      </c>
      <c r="W14" s="30"/>
      <c r="X14" s="253"/>
      <c r="Y14" s="262"/>
    </row>
    <row r="15" spans="2:25" x14ac:dyDescent="0.2">
      <c r="B15" s="117">
        <f>+G15/'46k'!k_2023</f>
        <v>2.9999999999999995E-2</v>
      </c>
      <c r="C15" s="118">
        <v>0.05</v>
      </c>
      <c r="D15" s="119" t="s">
        <v>41</v>
      </c>
      <c r="E15" s="279" t="s">
        <v>43</v>
      </c>
      <c r="F15" s="117">
        <v>0.03</v>
      </c>
      <c r="G15" s="121">
        <f>k_2023*F15</f>
        <v>311.89379999999994</v>
      </c>
      <c r="H15" s="108">
        <f>H8-11.25</f>
        <v>27.25</v>
      </c>
      <c r="I15" s="200">
        <f t="shared" si="7"/>
        <v>8499.1060499999985</v>
      </c>
      <c r="J15" s="201">
        <f>+I15*TC_2023</f>
        <v>65868.071887499987</v>
      </c>
      <c r="K15" s="202">
        <f t="shared" si="1"/>
        <v>2.4990447076805498E-2</v>
      </c>
      <c r="L15" s="197">
        <f t="shared" si="8"/>
        <v>7.7973449999999982</v>
      </c>
      <c r="M15" s="208">
        <f t="shared" si="9"/>
        <v>6.8760730935599987</v>
      </c>
      <c r="N15" s="199">
        <f>+H15*46*TC_2023</f>
        <v>9714.625</v>
      </c>
      <c r="P15" s="11"/>
      <c r="Q15" s="108">
        <f>+Q8-7.5</f>
        <v>14</v>
      </c>
      <c r="S15" s="108">
        <f>+S8-11.75</f>
        <v>10.75</v>
      </c>
      <c r="U15" s="108">
        <f>+U8-9</f>
        <v>7.65</v>
      </c>
      <c r="W15" s="30">
        <v>40</v>
      </c>
      <c r="X15" s="253">
        <f t="shared" si="11"/>
        <v>7.7973449999999982</v>
      </c>
      <c r="Y15" s="263" t="s">
        <v>41</v>
      </c>
    </row>
    <row r="16" spans="2:25" x14ac:dyDescent="0.2">
      <c r="B16" s="117">
        <f>+G16/'46k'!k_2023</f>
        <v>0.08</v>
      </c>
      <c r="C16" s="118">
        <v>0.16</v>
      </c>
      <c r="D16" s="122" t="s">
        <v>42</v>
      </c>
      <c r="E16" s="280" t="s">
        <v>167</v>
      </c>
      <c r="F16" s="117">
        <v>0.08</v>
      </c>
      <c r="G16" s="121">
        <f>k_2023*F16</f>
        <v>831.71679999999992</v>
      </c>
      <c r="H16" s="108">
        <f>H8-10.25</f>
        <v>28.25</v>
      </c>
      <c r="I16" s="200">
        <f t="shared" si="7"/>
        <v>23495.999599999999</v>
      </c>
      <c r="J16" s="201">
        <f>+I16*TC_2023</f>
        <v>182093.9969</v>
      </c>
      <c r="K16" s="202">
        <f t="shared" si="1"/>
        <v>6.9086740542606037E-2</v>
      </c>
      <c r="L16" s="197">
        <f t="shared" si="8"/>
        <v>20.792919999999999</v>
      </c>
      <c r="M16" s="198">
        <f t="shared" si="9"/>
        <v>18.336194916159997</v>
      </c>
      <c r="N16" s="199">
        <f>+H16*46*TC_2023</f>
        <v>10071.125</v>
      </c>
      <c r="P16" s="11"/>
      <c r="Q16" s="108">
        <f>+Q8-6</f>
        <v>15.5</v>
      </c>
      <c r="S16" s="108">
        <f>+S8-6</f>
        <v>16.5</v>
      </c>
      <c r="U16" s="108">
        <f>+U8-6.75</f>
        <v>9.9</v>
      </c>
      <c r="W16" s="30">
        <v>40</v>
      </c>
      <c r="X16" s="253">
        <f t="shared" si="11"/>
        <v>20.792919999999999</v>
      </c>
      <c r="Y16" s="263" t="s">
        <v>42</v>
      </c>
    </row>
    <row r="17" spans="2:25" x14ac:dyDescent="0.2">
      <c r="B17" s="117">
        <f>+G17/'46k'!k_2023</f>
        <v>7.0000000000000007E-2</v>
      </c>
      <c r="C17" s="118">
        <v>0.1</v>
      </c>
      <c r="D17" s="124" t="s">
        <v>43</v>
      </c>
      <c r="E17" s="280" t="s">
        <v>41</v>
      </c>
      <c r="F17" s="117">
        <v>7.0000000000000007E-2</v>
      </c>
      <c r="G17" s="121">
        <f>k_2023*F17</f>
        <v>727.75220000000002</v>
      </c>
      <c r="H17" s="108">
        <f>H8-16</f>
        <v>22.5</v>
      </c>
      <c r="I17" s="200">
        <f t="shared" si="7"/>
        <v>16374.424500000001</v>
      </c>
      <c r="J17" s="201">
        <f>+I17*TC_2023</f>
        <v>126901.789875</v>
      </c>
      <c r="K17" s="202">
        <f t="shared" si="1"/>
        <v>4.8146732900267483E-2</v>
      </c>
      <c r="L17" s="197">
        <f t="shared" si="8"/>
        <v>18.193805000000001</v>
      </c>
      <c r="M17" s="198">
        <f t="shared" si="9"/>
        <v>16.044170551640001</v>
      </c>
      <c r="N17" s="199">
        <f>+H17*46*TC_2023</f>
        <v>8021.25</v>
      </c>
      <c r="P17" s="11"/>
      <c r="Q17" s="108">
        <f>+Q8-6</f>
        <v>15.5</v>
      </c>
      <c r="S17" s="108">
        <f>+S8-5.5</f>
        <v>17</v>
      </c>
      <c r="U17" s="108">
        <f>+U8-6.5</f>
        <v>10.15</v>
      </c>
      <c r="W17" s="30">
        <v>40</v>
      </c>
      <c r="X17" s="253">
        <f t="shared" si="11"/>
        <v>18.193805000000001</v>
      </c>
      <c r="Y17" s="263" t="s">
        <v>43</v>
      </c>
    </row>
    <row r="18" spans="2:25" x14ac:dyDescent="0.2">
      <c r="B18" s="117">
        <f>+G18/'46k'!k_2023</f>
        <v>0.08</v>
      </c>
      <c r="C18" s="118">
        <v>0.03</v>
      </c>
      <c r="D18" s="124" t="s">
        <v>45</v>
      </c>
      <c r="E18" s="280" t="s">
        <v>166</v>
      </c>
      <c r="F18" s="117">
        <v>0.08</v>
      </c>
      <c r="G18" s="121">
        <f>k_2023*F18</f>
        <v>831.71679999999992</v>
      </c>
      <c r="H18" s="108">
        <f>H8-12.5</f>
        <v>26</v>
      </c>
      <c r="I18" s="200">
        <f t="shared" si="7"/>
        <v>21624.636799999997</v>
      </c>
      <c r="J18" s="201">
        <f>+I18*TC_2023</f>
        <v>167590.93519999998</v>
      </c>
      <c r="K18" s="202">
        <f t="shared" si="1"/>
        <v>6.3584256782575468E-2</v>
      </c>
      <c r="L18" s="197">
        <f t="shared" si="8"/>
        <v>20.792919999999999</v>
      </c>
      <c r="M18" s="198">
        <f t="shared" si="9"/>
        <v>18.336194916159997</v>
      </c>
      <c r="N18" s="199">
        <f>+H18*46*TC_2023</f>
        <v>9269</v>
      </c>
      <c r="P18" s="11"/>
      <c r="Q18" s="108">
        <f>Q8-5.5</f>
        <v>16</v>
      </c>
      <c r="S18" s="108">
        <f>S8-5.5</f>
        <v>17</v>
      </c>
      <c r="U18" s="108">
        <f>U8-6.5</f>
        <v>10.15</v>
      </c>
      <c r="W18" s="30">
        <v>40</v>
      </c>
      <c r="X18" s="253">
        <f t="shared" si="11"/>
        <v>20.792919999999999</v>
      </c>
      <c r="Y18" s="263" t="s">
        <v>46</v>
      </c>
    </row>
    <row r="19" spans="2:25" x14ac:dyDescent="0.2">
      <c r="B19" s="117">
        <f>+G19/'46k'!k_2023</f>
        <v>0.02</v>
      </c>
      <c r="C19" s="118">
        <v>0.14000000000000001</v>
      </c>
      <c r="D19" s="124" t="s">
        <v>44</v>
      </c>
      <c r="E19" s="280" t="s">
        <v>46</v>
      </c>
      <c r="F19" s="117">
        <v>0.02</v>
      </c>
      <c r="G19" s="121">
        <f>k_2023*F19</f>
        <v>207.92919999999998</v>
      </c>
      <c r="H19" s="108">
        <f>H8-11.5</f>
        <v>27</v>
      </c>
      <c r="I19" s="200">
        <f t="shared" si="7"/>
        <v>5614.0883999999996</v>
      </c>
      <c r="J19" s="201">
        <f>+I19*TC_2023</f>
        <v>43509.185099999995</v>
      </c>
      <c r="K19" s="202">
        <f t="shared" si="1"/>
        <v>1.6507451280091706E-2</v>
      </c>
      <c r="L19" s="197">
        <f t="shared" si="8"/>
        <v>5.1982299999999997</v>
      </c>
      <c r="M19" s="198">
        <f t="shared" si="9"/>
        <v>4.5840487290399992</v>
      </c>
      <c r="N19" s="199">
        <f>+H19*46*TC_2023</f>
        <v>9625.5</v>
      </c>
      <c r="O19" s="11"/>
      <c r="P19" s="11"/>
      <c r="Q19" s="108">
        <f>+Q8-6.5</f>
        <v>15</v>
      </c>
      <c r="S19" s="108">
        <f>+S8-6.5</f>
        <v>16</v>
      </c>
      <c r="U19" s="108">
        <f>+U8-8</f>
        <v>8.65</v>
      </c>
      <c r="W19" s="254">
        <v>40</v>
      </c>
      <c r="X19" s="253">
        <f t="shared" si="11"/>
        <v>5.1982299999999997</v>
      </c>
      <c r="Y19" s="264" t="s">
        <v>44</v>
      </c>
    </row>
    <row r="20" spans="2:25" x14ac:dyDescent="0.2">
      <c r="B20" s="111">
        <f>+G20/'46k'!k_2023</f>
        <v>0.28000000000000003</v>
      </c>
      <c r="C20" s="125"/>
      <c r="D20" s="126"/>
      <c r="E20" s="127"/>
      <c r="F20" s="128">
        <f t="shared" ref="F20:J20" si="14">SUM(F15:F19)</f>
        <v>0.28000000000000003</v>
      </c>
      <c r="G20" s="129">
        <f t="shared" si="14"/>
        <v>2911.0088000000001</v>
      </c>
      <c r="H20" s="113">
        <f>IFERROR(I20/G20,0)</f>
        <v>25.973214285714281</v>
      </c>
      <c r="I20" s="113">
        <f t="shared" si="14"/>
        <v>75608.255349999992</v>
      </c>
      <c r="J20" s="206">
        <f t="shared" si="14"/>
        <v>585963.9789625</v>
      </c>
      <c r="K20" s="210">
        <f t="shared" si="1"/>
        <v>0.22231562858234621</v>
      </c>
      <c r="L20" s="46"/>
      <c r="M20" s="129">
        <f>SUM(M15:M19)</f>
        <v>64.176682206560002</v>
      </c>
      <c r="N20" s="206">
        <f>IFERROR(J20/M20,0)</f>
        <v>9130.4810223206587</v>
      </c>
      <c r="O20" s="11"/>
      <c r="P20" s="11"/>
      <c r="Q20" s="113">
        <f t="shared" ref="Q20:U20" si="15">IFERROR(R20/P20,0)</f>
        <v>0</v>
      </c>
      <c r="S20" s="113">
        <f t="shared" si="15"/>
        <v>0</v>
      </c>
      <c r="U20" s="113">
        <f t="shared" si="15"/>
        <v>0</v>
      </c>
    </row>
    <row r="21" spans="2:25" x14ac:dyDescent="0.2">
      <c r="B21" s="130">
        <f>+G21/'46k'!k_2023</f>
        <v>0.9900000000000001</v>
      </c>
      <c r="C21" s="131">
        <f>+SUM(C7:C19)</f>
        <v>1.1900000000000004</v>
      </c>
      <c r="D21" s="132" t="s">
        <v>47</v>
      </c>
      <c r="E21" s="133" t="s">
        <v>48</v>
      </c>
      <c r="F21" s="130">
        <f t="shared" ref="F21:I21" si="16">+F11+F14+F20</f>
        <v>0.9900000000000001</v>
      </c>
      <c r="G21" s="134">
        <f t="shared" si="16"/>
        <v>10292.4954</v>
      </c>
      <c r="H21" s="113">
        <f>IFERROR(I21/G21,0)</f>
        <v>33.042929292929294</v>
      </c>
      <c r="I21" s="211">
        <f t="shared" si="16"/>
        <v>340094.19774999999</v>
      </c>
      <c r="J21" s="206">
        <f>+I21*TC_2023</f>
        <v>2635730.0325624999</v>
      </c>
      <c r="K21" s="207">
        <f t="shared" si="1"/>
        <v>1</v>
      </c>
      <c r="L21" s="46"/>
      <c r="M21" s="212">
        <f>+M11+M14+M20</f>
        <v>226.91041208747998</v>
      </c>
      <c r="N21" s="206">
        <f>IFERROR(J21/M21,0)</f>
        <v>11615.72978654834</v>
      </c>
      <c r="O21" s="11"/>
      <c r="P21" s="11"/>
      <c r="Q21" s="113">
        <f t="shared" ref="Q21:U21" si="17">IFERROR(R21/P21,0)</f>
        <v>0</v>
      </c>
      <c r="S21" s="113">
        <f t="shared" si="17"/>
        <v>0</v>
      </c>
      <c r="U21" s="113">
        <f t="shared" si="17"/>
        <v>0</v>
      </c>
    </row>
    <row r="22" spans="2:25" ht="7.25" customHeight="1" x14ac:dyDescent="0.2">
      <c r="F22" s="135"/>
      <c r="G22" s="136"/>
      <c r="H22" s="137"/>
      <c r="I22" s="137"/>
      <c r="J22" s="137"/>
      <c r="O22" s="11"/>
      <c r="P22" s="11"/>
    </row>
    <row r="23" spans="2:25" x14ac:dyDescent="0.2">
      <c r="E23" s="138" t="s">
        <v>49</v>
      </c>
      <c r="F23" s="139"/>
      <c r="G23" s="140">
        <f>+kilos_2023</f>
        <v>10396.459999999999</v>
      </c>
      <c r="H23" s="141">
        <f t="shared" ref="H23:H28" si="18">+I23/G23</f>
        <v>23.134425471002444</v>
      </c>
      <c r="I23" s="213">
        <f>+J23/TC_2023</f>
        <v>240516.12903225806</v>
      </c>
      <c r="J23" s="201">
        <f>+E5</f>
        <v>1864000</v>
      </c>
      <c r="K23" s="202">
        <f>J23/J21</f>
        <v>0.70720444695460283</v>
      </c>
      <c r="M23" s="79"/>
      <c r="N23" s="79"/>
      <c r="O23" s="11"/>
      <c r="P23" s="11"/>
    </row>
    <row r="24" spans="2:25" ht="6" customHeight="1" x14ac:dyDescent="0.2">
      <c r="E24" s="142"/>
      <c r="H24" s="143"/>
      <c r="O24" s="11"/>
    </row>
    <row r="25" spans="2:25" x14ac:dyDescent="0.2">
      <c r="E25" s="144" t="s">
        <v>50</v>
      </c>
      <c r="F25" s="145"/>
      <c r="G25" s="146">
        <f>+kilos_2023</f>
        <v>10396.459999999999</v>
      </c>
      <c r="H25" s="147">
        <f t="shared" si="18"/>
        <v>9.578074528997556</v>
      </c>
      <c r="I25" s="214">
        <f>+I21-I23</f>
        <v>99578.068717741931</v>
      </c>
      <c r="J25" s="215">
        <f>+J21-J23</f>
        <v>771730.03256249987</v>
      </c>
      <c r="K25" s="216">
        <f>I25/I23</f>
        <v>0.41401825781250001</v>
      </c>
      <c r="O25" s="11"/>
    </row>
    <row r="26" spans="2:25" ht="5.5" customHeight="1" x14ac:dyDescent="0.2">
      <c r="E26" s="142"/>
      <c r="H26" s="143"/>
      <c r="O26" s="11"/>
    </row>
    <row r="27" spans="2:25" ht="15" customHeight="1" x14ac:dyDescent="0.2">
      <c r="D27" s="148" t="s">
        <v>51</v>
      </c>
      <c r="E27" s="149" t="s">
        <v>52</v>
      </c>
      <c r="F27" s="150"/>
      <c r="G27" s="151">
        <f>+kilos_2023</f>
        <v>10396.459999999999</v>
      </c>
      <c r="H27" s="152">
        <f t="shared" si="18"/>
        <v>0</v>
      </c>
      <c r="I27" s="217">
        <f>+Anexo1_Gtos_Compra!D11</f>
        <v>0</v>
      </c>
      <c r="J27" s="218">
        <f>+Anexo1_Gtos_Compra!C11</f>
        <v>0</v>
      </c>
      <c r="K27" s="219">
        <f t="shared" ref="K27:K33" si="19">+J27/$J$21</f>
        <v>0</v>
      </c>
      <c r="L27" s="292">
        <f>+K27+K28</f>
        <v>1.502809449778531E-2</v>
      </c>
      <c r="O27" s="11"/>
    </row>
    <row r="28" spans="2:25" ht="15" customHeight="1" x14ac:dyDescent="0.2">
      <c r="D28" s="148" t="s">
        <v>53</v>
      </c>
      <c r="E28" s="149" t="s">
        <v>54</v>
      </c>
      <c r="F28" s="150"/>
      <c r="G28" s="151">
        <f>+kilos_2023</f>
        <v>10396.459999999999</v>
      </c>
      <c r="H28" s="152">
        <f t="shared" si="18"/>
        <v>0.49160654125880199</v>
      </c>
      <c r="I28" s="217">
        <f>+Anexo2_maquila!D6</f>
        <v>5110.9677419354839</v>
      </c>
      <c r="J28" s="218">
        <f>+Anexo2_maquila!C6</f>
        <v>39610</v>
      </c>
      <c r="K28" s="219">
        <f t="shared" si="19"/>
        <v>1.502809449778531E-2</v>
      </c>
      <c r="L28" s="293"/>
      <c r="O28" s="11"/>
      <c r="R28" s="11">
        <v>720</v>
      </c>
      <c r="S28" s="11">
        <f>R28/R38</f>
        <v>7.1999999999999995E-2</v>
      </c>
      <c r="T28" s="11">
        <f t="shared" ref="T28:T37" si="20">S28*100</f>
        <v>7.2</v>
      </c>
    </row>
    <row r="29" spans="2:25" ht="15" customHeight="1" x14ac:dyDescent="0.2">
      <c r="D29" s="148" t="s">
        <v>55</v>
      </c>
      <c r="E29" s="149" t="s">
        <v>56</v>
      </c>
      <c r="F29" s="150"/>
      <c r="G29" s="151">
        <f>+M3</f>
        <v>1</v>
      </c>
      <c r="H29" s="152">
        <f>+Anexo3_Cont_20!G19</f>
        <v>0.61435300000000004</v>
      </c>
      <c r="I29" s="217">
        <f>+Anexo3_Cont_20!D19*G29</f>
        <v>6143.53</v>
      </c>
      <c r="J29" s="218">
        <f>+Anexo3_Cont_20!C19*G29</f>
        <v>47612.357499999998</v>
      </c>
      <c r="K29" s="219">
        <f t="shared" si="19"/>
        <v>1.8064201155575287E-2</v>
      </c>
      <c r="L29" s="281">
        <f>+K29+K30+K31+K32</f>
        <v>2.4257622201398907E-2</v>
      </c>
      <c r="O29" s="11"/>
      <c r="R29" s="11">
        <v>1240</v>
      </c>
      <c r="S29" s="11">
        <f>R29/R38</f>
        <v>0.124</v>
      </c>
      <c r="T29" s="11">
        <f t="shared" si="20"/>
        <v>12.4</v>
      </c>
    </row>
    <row r="30" spans="2:25" ht="15" customHeight="1" x14ac:dyDescent="0.2">
      <c r="D30" s="148" t="s">
        <v>55</v>
      </c>
      <c r="E30" s="149" t="s">
        <v>57</v>
      </c>
      <c r="F30" s="150"/>
      <c r="G30" s="151">
        <f>+N3</f>
        <v>10000</v>
      </c>
      <c r="H30" s="152">
        <f>+Anexo3_Cont_20!G32</f>
        <v>0.21063465619073493</v>
      </c>
      <c r="I30" s="217">
        <f>+G30*H30</f>
        <v>2106.3465619073495</v>
      </c>
      <c r="J30" s="218">
        <f>+I30*TC_2023</f>
        <v>16324.185854781959</v>
      </c>
      <c r="K30" s="219">
        <f t="shared" si="19"/>
        <v>6.1934210458236194E-3</v>
      </c>
      <c r="L30" s="282"/>
      <c r="O30" s="11"/>
      <c r="R30" s="11">
        <v>1280</v>
      </c>
      <c r="S30" s="11">
        <f>R30/R38</f>
        <v>0.128</v>
      </c>
      <c r="T30" s="11">
        <f t="shared" si="20"/>
        <v>12.8</v>
      </c>
    </row>
    <row r="31" spans="2:25" x14ac:dyDescent="0.2">
      <c r="D31" s="148" t="s">
        <v>58</v>
      </c>
      <c r="E31" s="149" t="s">
        <v>59</v>
      </c>
      <c r="F31" s="150"/>
      <c r="G31" s="151">
        <f>+M4</f>
        <v>0</v>
      </c>
      <c r="H31" s="152">
        <f>+Anexo4_Cont_40!G16</f>
        <v>0</v>
      </c>
      <c r="I31" s="217">
        <f>+J31/TC_2023</f>
        <v>0</v>
      </c>
      <c r="J31" s="218">
        <f>+Anexo4_Cont_40!C16*G31</f>
        <v>0</v>
      </c>
      <c r="K31" s="219">
        <f t="shared" si="19"/>
        <v>0</v>
      </c>
      <c r="L31" s="282"/>
      <c r="O31" s="11"/>
      <c r="R31" s="11">
        <v>800</v>
      </c>
      <c r="S31" s="11">
        <f>R31/R38</f>
        <v>0.08</v>
      </c>
      <c r="T31" s="11">
        <f t="shared" si="20"/>
        <v>8</v>
      </c>
    </row>
    <row r="32" spans="2:25" x14ac:dyDescent="0.2">
      <c r="D32" s="148" t="s">
        <v>58</v>
      </c>
      <c r="E32" s="149" t="s">
        <v>60</v>
      </c>
      <c r="F32" s="150"/>
      <c r="G32" s="151">
        <f>+N4</f>
        <v>0</v>
      </c>
      <c r="H32" s="152">
        <f>+Anexo4_Cont_40!G29</f>
        <v>0</v>
      </c>
      <c r="I32" s="217">
        <f>+J32/TC_2023</f>
        <v>0</v>
      </c>
      <c r="J32" s="218">
        <f>+Anexo4_Cont_40!C29</f>
        <v>0</v>
      </c>
      <c r="K32" s="219">
        <f t="shared" si="19"/>
        <v>0</v>
      </c>
      <c r="L32" s="283"/>
      <c r="O32" s="11"/>
      <c r="R32" s="11">
        <v>1200</v>
      </c>
      <c r="S32" s="11">
        <f>R32/R38</f>
        <v>0.12</v>
      </c>
      <c r="T32" s="11">
        <f t="shared" si="20"/>
        <v>12</v>
      </c>
    </row>
    <row r="33" spans="4:20" x14ac:dyDescent="0.2">
      <c r="D33" s="148" t="s">
        <v>61</v>
      </c>
      <c r="E33" s="149" t="s">
        <v>62</v>
      </c>
      <c r="F33" s="150"/>
      <c r="G33" s="151">
        <f>+kilos_2023</f>
        <v>10396.459999999999</v>
      </c>
      <c r="H33" s="152">
        <f t="shared" ref="H33:H37" si="21">+I33/G33</f>
        <v>0.94866249999999996</v>
      </c>
      <c r="I33" s="217">
        <f>+Anexo5_Gtos_variables!E12</f>
        <v>9862.7317347499993</v>
      </c>
      <c r="J33" s="218">
        <f>+I33*7.8</f>
        <v>76929.307531049999</v>
      </c>
      <c r="K33" s="219">
        <f t="shared" si="19"/>
        <v>2.9187096774193549E-2</v>
      </c>
      <c r="L33" s="220">
        <f>+K33</f>
        <v>2.9187096774193549E-2</v>
      </c>
      <c r="O33" s="11"/>
      <c r="R33" s="11">
        <v>680</v>
      </c>
      <c r="S33" s="11">
        <f>R33/R38</f>
        <v>6.8000000000000005E-2</v>
      </c>
      <c r="T33" s="11">
        <f t="shared" si="20"/>
        <v>6.8</v>
      </c>
    </row>
    <row r="34" spans="4:20" x14ac:dyDescent="0.2">
      <c r="E34" s="142"/>
      <c r="H34" s="153"/>
      <c r="I34" s="137"/>
      <c r="L34" s="221"/>
      <c r="O34" s="11"/>
      <c r="R34" s="11">
        <v>1600</v>
      </c>
      <c r="S34" s="11">
        <f>R34/R38</f>
        <v>0.16</v>
      </c>
      <c r="T34" s="11">
        <f t="shared" si="20"/>
        <v>16</v>
      </c>
    </row>
    <row r="35" spans="4:20" x14ac:dyDescent="0.2">
      <c r="E35" s="154" t="s">
        <v>63</v>
      </c>
      <c r="F35" s="155"/>
      <c r="G35" s="156">
        <f>+kilos_2023</f>
        <v>10396.459999999999</v>
      </c>
      <c r="H35" s="157">
        <f t="shared" si="21"/>
        <v>2.2337965075220638</v>
      </c>
      <c r="I35" s="222">
        <f>SUM(I27:I33)</f>
        <v>23223.576038592833</v>
      </c>
      <c r="J35" s="223">
        <f>SUM(J27:J33)</f>
        <v>180475.85088583195</v>
      </c>
      <c r="K35" s="224">
        <f>J35/J23</f>
        <v>9.6821808415145899E-2</v>
      </c>
      <c r="O35" s="11"/>
      <c r="R35" s="11">
        <v>1000</v>
      </c>
      <c r="S35" s="11">
        <f>R35/R38</f>
        <v>0.1</v>
      </c>
      <c r="T35" s="11">
        <f t="shared" si="20"/>
        <v>10</v>
      </c>
    </row>
    <row r="36" spans="4:20" ht="7.25" customHeight="1" x14ac:dyDescent="0.2">
      <c r="E36" s="142"/>
      <c r="H36" s="143"/>
      <c r="I36" s="137"/>
      <c r="O36" s="11"/>
      <c r="T36" s="11">
        <f t="shared" si="20"/>
        <v>0</v>
      </c>
    </row>
    <row r="37" spans="4:20" ht="19" x14ac:dyDescent="0.25">
      <c r="E37" s="158" t="s">
        <v>64</v>
      </c>
      <c r="F37" s="159"/>
      <c r="G37" s="160">
        <f>+kilos_2023</f>
        <v>10396.459999999999</v>
      </c>
      <c r="H37" s="161">
        <f t="shared" si="21"/>
        <v>7.3442780214754935</v>
      </c>
      <c r="I37" s="225">
        <f>+I25-I35</f>
        <v>76354.492679149102</v>
      </c>
      <c r="J37" s="226">
        <f>+J25-J35</f>
        <v>591254.18167666788</v>
      </c>
      <c r="K37" s="227">
        <f>J37/J23</f>
        <v>0.31719644939735403</v>
      </c>
      <c r="N37" s="228" t="s">
        <v>65</v>
      </c>
      <c r="O37" s="11"/>
      <c r="R37" s="11">
        <v>1480</v>
      </c>
      <c r="S37" s="11">
        <f>R37/R38</f>
        <v>0.14799999999999999</v>
      </c>
      <c r="T37" s="11">
        <f t="shared" si="20"/>
        <v>14.8</v>
      </c>
    </row>
    <row r="38" spans="4:20" x14ac:dyDescent="0.2">
      <c r="H38" s="143"/>
      <c r="N38" s="229" t="s">
        <v>66</v>
      </c>
      <c r="O38" s="230" t="s">
        <v>67</v>
      </c>
      <c r="R38" s="11">
        <f>SUM(R28:R37)</f>
        <v>10000</v>
      </c>
    </row>
    <row r="39" spans="4:20" x14ac:dyDescent="0.2">
      <c r="D39" s="142"/>
      <c r="E39" s="149" t="s">
        <v>68</v>
      </c>
      <c r="F39" s="150"/>
      <c r="G39" s="162">
        <f>+kilos_2023</f>
        <v>10396.459999999999</v>
      </c>
      <c r="H39" s="152">
        <f>+I39/G39</f>
        <v>0.30983593478960336</v>
      </c>
      <c r="I39" s="231">
        <f>+J39/TC_2023</f>
        <v>3221.1969026027195</v>
      </c>
      <c r="J39" s="232">
        <f>+O41</f>
        <v>24964.275995171076</v>
      </c>
      <c r="K39" s="233">
        <f>J39/J23</f>
        <v>1.3392851928739848E-2</v>
      </c>
      <c r="N39" s="234">
        <v>9.7500000000000003E-2</v>
      </c>
      <c r="O39" s="235">
        <v>1.5</v>
      </c>
    </row>
    <row r="40" spans="4:20" x14ac:dyDescent="0.2">
      <c r="E40" s="142"/>
      <c r="H40" s="143"/>
      <c r="N40" s="229" t="s">
        <v>69</v>
      </c>
      <c r="O40" s="229" t="s">
        <v>70</v>
      </c>
    </row>
    <row r="41" spans="4:20" ht="19" x14ac:dyDescent="0.25">
      <c r="E41" s="163" t="s">
        <v>71</v>
      </c>
      <c r="F41" s="159"/>
      <c r="G41" s="160">
        <f>+kilos_2023</f>
        <v>10396.459999999999</v>
      </c>
      <c r="H41" s="161">
        <f t="shared" ref="H41:J41" si="22">+H37-H39</f>
        <v>7.0344420866858899</v>
      </c>
      <c r="I41" s="225">
        <f t="shared" si="22"/>
        <v>73133.29577654638</v>
      </c>
      <c r="J41" s="226">
        <f t="shared" si="22"/>
        <v>566289.90568149684</v>
      </c>
      <c r="K41" s="236">
        <f>J41/J23</f>
        <v>0.30380359746861418</v>
      </c>
      <c r="L41" s="70"/>
      <c r="N41" s="237">
        <f>+J23+J35+J43</f>
        <v>2048350.850885832</v>
      </c>
      <c r="O41" s="62">
        <f>+N41*N39/12*O39</f>
        <v>24964.275995171076</v>
      </c>
    </row>
    <row r="42" spans="4:20" x14ac:dyDescent="0.2">
      <c r="E42" s="142"/>
      <c r="H42" s="164"/>
    </row>
    <row r="43" spans="4:20" x14ac:dyDescent="0.2">
      <c r="E43" s="149" t="s">
        <v>72</v>
      </c>
      <c r="F43" s="150"/>
      <c r="G43" s="162">
        <f>+kilos_2023</f>
        <v>10396.459999999999</v>
      </c>
      <c r="H43" s="152">
        <f>+I43/G43</f>
        <v>4.809329329406356E-2</v>
      </c>
      <c r="I43" s="231">
        <v>500</v>
      </c>
      <c r="J43" s="232">
        <f>+I43*TC_2023</f>
        <v>3875</v>
      </c>
      <c r="K43" s="233">
        <f>J43/J23</f>
        <v>2.0788626609442059E-3</v>
      </c>
    </row>
    <row r="44" spans="4:20" x14ac:dyDescent="0.2">
      <c r="E44" s="142"/>
      <c r="H44" s="164"/>
    </row>
    <row r="45" spans="4:20" ht="16" x14ac:dyDescent="0.2">
      <c r="E45" s="165" t="s">
        <v>73</v>
      </c>
      <c r="F45" s="166"/>
      <c r="G45" s="167">
        <f>+kilos_2023</f>
        <v>10396.459999999999</v>
      </c>
      <c r="H45" s="168">
        <f t="shared" ref="H45:J45" si="23">+H41-H43</f>
        <v>6.9863487933918265</v>
      </c>
      <c r="I45" s="238">
        <f t="shared" si="23"/>
        <v>72633.29577654638</v>
      </c>
      <c r="J45" s="239">
        <f t="shared" si="23"/>
        <v>562414.90568149684</v>
      </c>
      <c r="K45" s="240">
        <f>J45/J23</f>
        <v>0.30172473480766998</v>
      </c>
      <c r="M45" s="228" t="s">
        <v>74</v>
      </c>
      <c r="O45" s="11"/>
    </row>
    <row r="46" spans="4:20" x14ac:dyDescent="0.2">
      <c r="H46" s="164"/>
      <c r="M46" s="241" t="s">
        <v>75</v>
      </c>
      <c r="N46" s="237">
        <f>+J23+J35+J39+J43</f>
        <v>2073315.1268810031</v>
      </c>
      <c r="O46" s="242">
        <f>+N47/N46</f>
        <v>0.27126359056067234</v>
      </c>
      <c r="P46" s="243" t="s">
        <v>76</v>
      </c>
      <c r="Q46" s="19"/>
    </row>
    <row r="47" spans="4:20" x14ac:dyDescent="0.2">
      <c r="E47" s="169" t="s">
        <v>77</v>
      </c>
      <c r="F47" s="170"/>
      <c r="G47" s="162">
        <f>+kilos_2023</f>
        <v>10396.459999999999</v>
      </c>
      <c r="H47" s="152">
        <f>+I47/G47</f>
        <v>1.7450570975415045</v>
      </c>
      <c r="I47" s="231">
        <f>+J47/TC_2023</f>
        <v>18142.416312306348</v>
      </c>
      <c r="J47" s="232">
        <f>+J45*0.25</f>
        <v>140603.72642037421</v>
      </c>
      <c r="K47" s="233">
        <f>J47/J23</f>
        <v>7.5431183701917495E-2</v>
      </c>
      <c r="M47" s="241" t="s">
        <v>78</v>
      </c>
      <c r="N47" s="237">
        <f>+J45</f>
        <v>562414.90568149684</v>
      </c>
      <c r="O47" s="244">
        <f>+O46/O39*12</f>
        <v>2.1701087244853787</v>
      </c>
      <c r="P47" s="243" t="s">
        <v>79</v>
      </c>
      <c r="Q47" s="19"/>
    </row>
    <row r="48" spans="4:20" x14ac:dyDescent="0.2">
      <c r="H48" s="164"/>
      <c r="O48" s="11"/>
      <c r="P48" s="11"/>
    </row>
    <row r="49" spans="4:17" ht="19" x14ac:dyDescent="0.25">
      <c r="E49" s="171" t="s">
        <v>80</v>
      </c>
      <c r="F49" s="172"/>
      <c r="G49" s="173">
        <f>+kilos_2023</f>
        <v>10396.459999999999</v>
      </c>
      <c r="H49" s="174">
        <f t="shared" ref="H49:J49" si="24">+H45-H47</f>
        <v>5.2412916958503217</v>
      </c>
      <c r="I49" s="245">
        <f t="shared" si="24"/>
        <v>54490.879464240032</v>
      </c>
      <c r="J49" s="246">
        <f t="shared" si="24"/>
        <v>421811.1792611226</v>
      </c>
      <c r="K49" s="247">
        <f>J49/J23</f>
        <v>0.22629355110575247</v>
      </c>
      <c r="O49" s="11"/>
      <c r="P49" s="11"/>
      <c r="Q49" s="255" t="s">
        <v>81</v>
      </c>
    </row>
    <row r="50" spans="4:17" x14ac:dyDescent="0.2">
      <c r="N50" s="248">
        <f>N41+J39</f>
        <v>2073315.1268810031</v>
      </c>
      <c r="O50" s="249">
        <f>N50/7.8</f>
        <v>265809.63165141066</v>
      </c>
      <c r="P50" s="11"/>
      <c r="Q50" s="256">
        <f>O50/10000</f>
        <v>26.580963165141068</v>
      </c>
    </row>
    <row r="51" spans="4:17" x14ac:dyDescent="0.2">
      <c r="D51" s="175"/>
      <c r="E51" s="176" t="s">
        <v>82</v>
      </c>
      <c r="H51" s="75">
        <f>H35+H39+H43+H47</f>
        <v>4.3367828331472351</v>
      </c>
      <c r="I51" s="79"/>
      <c r="O51" s="11"/>
      <c r="P51" s="11"/>
    </row>
    <row r="52" spans="4:17" x14ac:dyDescent="0.2">
      <c r="D52" s="175"/>
      <c r="E52" s="177">
        <f>H51/1</f>
        <v>4.3367828331472351</v>
      </c>
      <c r="K52" s="250"/>
      <c r="O52" s="11"/>
      <c r="P52" s="11"/>
    </row>
    <row r="53" spans="4:17" x14ac:dyDescent="0.2">
      <c r="D53" s="175"/>
      <c r="K53" s="26"/>
      <c r="O53" s="11"/>
      <c r="P53" s="11"/>
    </row>
    <row r="54" spans="4:17" x14ac:dyDescent="0.2">
      <c r="D54" s="175"/>
      <c r="O54" s="11"/>
      <c r="P54" s="11"/>
    </row>
    <row r="55" spans="4:17" x14ac:dyDescent="0.2">
      <c r="O55" s="11"/>
    </row>
    <row r="56" spans="4:17" x14ac:dyDescent="0.2">
      <c r="O56" s="11"/>
    </row>
    <row r="57" spans="4:17" x14ac:dyDescent="0.2">
      <c r="O57" s="11"/>
    </row>
    <row r="58" spans="4:17" x14ac:dyDescent="0.2">
      <c r="O58" s="11"/>
    </row>
    <row r="59" spans="4:17" x14ac:dyDescent="0.2">
      <c r="O59" s="11"/>
    </row>
    <row r="60" spans="4:17" x14ac:dyDescent="0.2">
      <c r="O60" s="11"/>
    </row>
    <row r="61" spans="4:17" x14ac:dyDescent="0.2">
      <c r="O61" s="11"/>
    </row>
    <row r="62" spans="4:17" x14ac:dyDescent="0.2">
      <c r="O62" s="11"/>
    </row>
    <row r="63" spans="4:17" x14ac:dyDescent="0.2">
      <c r="O63" s="11"/>
    </row>
    <row r="64" spans="4:17" x14ac:dyDescent="0.2">
      <c r="O64" s="11"/>
    </row>
    <row r="65" spans="8:15" x14ac:dyDescent="0.2">
      <c r="O65" s="11"/>
    </row>
    <row r="66" spans="8:15" x14ac:dyDescent="0.2">
      <c r="O66" s="11"/>
    </row>
    <row r="67" spans="8:15" s="26" customFormat="1" x14ac:dyDescent="0.2"/>
    <row r="68" spans="8:15" x14ac:dyDescent="0.2">
      <c r="H68" s="58"/>
    </row>
    <row r="69" spans="8:15" x14ac:dyDescent="0.2">
      <c r="H69" s="58"/>
    </row>
    <row r="70" spans="8:15" x14ac:dyDescent="0.2">
      <c r="H70" s="58"/>
    </row>
    <row r="71" spans="8:15" x14ac:dyDescent="0.2">
      <c r="H71" s="58"/>
    </row>
    <row r="72" spans="8:15" x14ac:dyDescent="0.2">
      <c r="H72" s="58"/>
    </row>
    <row r="73" spans="8:15" x14ac:dyDescent="0.2">
      <c r="H73" s="58"/>
    </row>
    <row r="74" spans="8:15" x14ac:dyDescent="0.2">
      <c r="H74" s="58"/>
    </row>
    <row r="75" spans="8:15" x14ac:dyDescent="0.2">
      <c r="H75" s="58"/>
    </row>
    <row r="76" spans="8:15" x14ac:dyDescent="0.2">
      <c r="H76" s="58"/>
    </row>
    <row r="77" spans="8:15" x14ac:dyDescent="0.2">
      <c r="H77" s="58"/>
    </row>
    <row r="78" spans="8:15" x14ac:dyDescent="0.2">
      <c r="H78" s="58"/>
    </row>
    <row r="79" spans="8:15" x14ac:dyDescent="0.2">
      <c r="H79" s="58"/>
    </row>
    <row r="80" spans="8:15" x14ac:dyDescent="0.2">
      <c r="H80" s="58"/>
    </row>
    <row r="81" spans="8:8" x14ac:dyDescent="0.2">
      <c r="H81" s="58"/>
    </row>
    <row r="82" spans="8:8" x14ac:dyDescent="0.2">
      <c r="H82" s="70"/>
    </row>
    <row r="83" spans="8:8" x14ac:dyDescent="0.2">
      <c r="H83" s="70"/>
    </row>
    <row r="84" spans="8:8" x14ac:dyDescent="0.2">
      <c r="H84" s="58"/>
    </row>
    <row r="85" spans="8:8" x14ac:dyDescent="0.2">
      <c r="H85" s="58"/>
    </row>
    <row r="86" spans="8:8" x14ac:dyDescent="0.2">
      <c r="H86" s="58"/>
    </row>
    <row r="87" spans="8:8" x14ac:dyDescent="0.2">
      <c r="H87" s="58"/>
    </row>
    <row r="88" spans="8:8" x14ac:dyDescent="0.2">
      <c r="H88" s="58"/>
    </row>
    <row r="89" spans="8:8" x14ac:dyDescent="0.2">
      <c r="H89" s="58"/>
    </row>
    <row r="90" spans="8:8" x14ac:dyDescent="0.2">
      <c r="H90" s="58"/>
    </row>
    <row r="91" spans="8:8" x14ac:dyDescent="0.2">
      <c r="H91" s="58"/>
    </row>
    <row r="92" spans="8:8" x14ac:dyDescent="0.2">
      <c r="H92" s="58"/>
    </row>
    <row r="93" spans="8:8" x14ac:dyDescent="0.2">
      <c r="H93" s="58"/>
    </row>
    <row r="94" spans="8:8" x14ac:dyDescent="0.2">
      <c r="H94" s="58"/>
    </row>
    <row r="95" spans="8:8" x14ac:dyDescent="0.2">
      <c r="H95" s="58"/>
    </row>
    <row r="96" spans="8:8" x14ac:dyDescent="0.2">
      <c r="H96" s="58"/>
    </row>
    <row r="97" spans="6:15" x14ac:dyDescent="0.2">
      <c r="H97" s="70"/>
    </row>
    <row r="98" spans="6:15" x14ac:dyDescent="0.2">
      <c r="F98" s="56"/>
      <c r="G98" s="12"/>
      <c r="H98" s="70"/>
    </row>
    <row r="99" spans="6:15" x14ac:dyDescent="0.2">
      <c r="F99" s="56"/>
      <c r="G99" s="12"/>
      <c r="H99" s="70"/>
    </row>
    <row r="100" spans="6:15" x14ac:dyDescent="0.2">
      <c r="F100" s="56"/>
      <c r="G100" s="12"/>
      <c r="H100" s="70"/>
    </row>
    <row r="101" spans="6:15" x14ac:dyDescent="0.2">
      <c r="F101" s="56"/>
      <c r="G101" s="12"/>
      <c r="H101" s="70"/>
    </row>
    <row r="102" spans="6:15" x14ac:dyDescent="0.2">
      <c r="F102" s="56"/>
      <c r="G102" s="12"/>
      <c r="H102" s="70"/>
    </row>
    <row r="103" spans="6:15" x14ac:dyDescent="0.2">
      <c r="F103" s="56"/>
      <c r="G103" s="12"/>
      <c r="H103" s="70"/>
    </row>
    <row r="104" spans="6:15" x14ac:dyDescent="0.2">
      <c r="F104" s="56"/>
      <c r="G104" s="12"/>
      <c r="H104" s="70"/>
    </row>
    <row r="105" spans="6:15" x14ac:dyDescent="0.2">
      <c r="F105" s="56"/>
      <c r="G105" s="12"/>
      <c r="H105" s="70"/>
    </row>
    <row r="106" spans="6:15" x14ac:dyDescent="0.2">
      <c r="F106" s="46"/>
      <c r="G106" s="12"/>
      <c r="H106" s="265"/>
    </row>
    <row r="107" spans="6:15" x14ac:dyDescent="0.2">
      <c r="F107" s="46"/>
      <c r="G107" s="12"/>
      <c r="H107" s="265"/>
      <c r="N107" s="12"/>
      <c r="O107" s="11"/>
    </row>
    <row r="108" spans="6:15" x14ac:dyDescent="0.2">
      <c r="F108" s="46"/>
      <c r="G108" s="12"/>
      <c r="H108" s="265"/>
      <c r="N108" s="12"/>
      <c r="O108" s="11"/>
    </row>
    <row r="109" spans="6:15" x14ac:dyDescent="0.2">
      <c r="G109" s="12"/>
      <c r="H109" s="265"/>
      <c r="N109" s="12"/>
      <c r="O109" s="11"/>
    </row>
    <row r="110" spans="6:15" x14ac:dyDescent="0.2">
      <c r="H110" s="265"/>
      <c r="O110" s="11"/>
    </row>
    <row r="111" spans="6:15" x14ac:dyDescent="0.2">
      <c r="H111" s="265"/>
      <c r="O111" s="11"/>
    </row>
    <row r="112" spans="6:15" x14ac:dyDescent="0.2">
      <c r="H112" s="265"/>
      <c r="O112" s="11"/>
    </row>
    <row r="113" spans="8:15" x14ac:dyDescent="0.2">
      <c r="H113" s="265"/>
      <c r="O113" s="11"/>
    </row>
    <row r="114" spans="8:15" x14ac:dyDescent="0.2">
      <c r="H114" s="265"/>
      <c r="O114" s="11"/>
    </row>
    <row r="115" spans="8:15" x14ac:dyDescent="0.2">
      <c r="H115" s="265"/>
      <c r="O115" s="11"/>
    </row>
    <row r="116" spans="8:15" x14ac:dyDescent="0.2">
      <c r="H116" s="265"/>
      <c r="O116" s="11"/>
    </row>
    <row r="117" spans="8:15" x14ac:dyDescent="0.2">
      <c r="H117" s="265"/>
      <c r="O117" s="11"/>
    </row>
    <row r="118" spans="8:15" x14ac:dyDescent="0.2">
      <c r="H118" s="265"/>
      <c r="O118" s="11"/>
    </row>
    <row r="119" spans="8:15" x14ac:dyDescent="0.2">
      <c r="H119" s="265"/>
      <c r="O119" s="11"/>
    </row>
    <row r="120" spans="8:15" x14ac:dyDescent="0.2">
      <c r="H120" s="265"/>
      <c r="O120" s="11"/>
    </row>
    <row r="121" spans="8:15" x14ac:dyDescent="0.2">
      <c r="H121" s="265"/>
      <c r="O121" s="11"/>
    </row>
    <row r="122" spans="8:15" x14ac:dyDescent="0.2">
      <c r="H122" s="265"/>
      <c r="O122" s="11"/>
    </row>
  </sheetData>
  <mergeCells count="6">
    <mergeCell ref="L29:L32"/>
    <mergeCell ref="C8:C11"/>
    <mergeCell ref="C12:C14"/>
    <mergeCell ref="D8:D11"/>
    <mergeCell ref="D12:D13"/>
    <mergeCell ref="L27:L28"/>
  </mergeCell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01DE-C17C-EF4C-8205-1467DBA2D9CF}">
  <dimension ref="B1:Y122"/>
  <sheetViews>
    <sheetView tabSelected="1" workbookViewId="0">
      <selection activeCell="M28" sqref="M28"/>
    </sheetView>
  </sheetViews>
  <sheetFormatPr baseColWidth="10" defaultColWidth="11.5" defaultRowHeight="15" x14ac:dyDescent="0.2"/>
  <cols>
    <col min="1" max="1" width="2.5" style="11" customWidth="1"/>
    <col min="2" max="2" width="13.33203125" style="11" customWidth="1"/>
    <col min="3" max="3" width="13.1640625" style="11" customWidth="1"/>
    <col min="4" max="4" width="14.1640625" style="11" customWidth="1"/>
    <col min="5" max="5" width="29.6640625" style="11" customWidth="1"/>
    <col min="6" max="6" width="13.5" style="11" customWidth="1"/>
    <col min="7" max="7" width="14.83203125" style="11" customWidth="1"/>
    <col min="8" max="8" width="16.5" style="75" customWidth="1"/>
    <col min="9" max="9" width="16.33203125" style="11" customWidth="1"/>
    <col min="10" max="10" width="19.5" style="11" customWidth="1"/>
    <col min="11" max="11" width="11.6640625" style="11" customWidth="1"/>
    <col min="12" max="12" width="12.1640625" style="11" customWidth="1"/>
    <col min="13" max="13" width="32.83203125" style="11" bestFit="1" customWidth="1"/>
    <col min="14" max="14" width="11.5" style="11"/>
    <col min="16" max="16" width="3.1640625" style="53" customWidth="1"/>
    <col min="17" max="17" width="11.5" style="11"/>
    <col min="18" max="18" width="16.83203125" style="11" customWidth="1"/>
    <col min="19" max="19" width="11.83203125" style="11" customWidth="1"/>
    <col min="20" max="20" width="12.5" style="11" customWidth="1"/>
    <col min="21" max="23" width="11.6640625" style="11" customWidth="1"/>
    <col min="24" max="24" width="12.5" style="11" customWidth="1"/>
    <col min="25" max="25" width="11.6640625" style="11" customWidth="1"/>
    <col min="26" max="26" width="5" style="11" customWidth="1"/>
    <col min="27" max="16384" width="11.5" style="11"/>
  </cols>
  <sheetData>
    <row r="1" spans="2:25" ht="25" thickBot="1" x14ac:dyDescent="0.35">
      <c r="B1" s="76" t="s">
        <v>0</v>
      </c>
      <c r="C1" s="77">
        <v>45307</v>
      </c>
      <c r="E1" s="133" t="s">
        <v>168</v>
      </c>
      <c r="F1" s="134">
        <f>quintales_2023*46</f>
        <v>10718</v>
      </c>
      <c r="G1" s="134"/>
      <c r="H1" s="294" t="s">
        <v>169</v>
      </c>
      <c r="I1" s="295">
        <f>F1-kilos_2023</f>
        <v>321.54000000000087</v>
      </c>
    </row>
    <row r="2" spans="2:25" ht="20" thickBot="1" x14ac:dyDescent="0.3">
      <c r="B2" s="78" t="s">
        <v>1</v>
      </c>
      <c r="D2" s="79"/>
      <c r="E2" s="79"/>
      <c r="F2" s="80" t="s">
        <v>2</v>
      </c>
      <c r="G2" s="81">
        <f>+K45</f>
        <v>0.3502903021024662</v>
      </c>
      <c r="H2" s="82">
        <f>+I45</f>
        <v>84314.098026546388</v>
      </c>
      <c r="I2" s="178">
        <f>+J41</f>
        <v>656816.12311899697</v>
      </c>
      <c r="J2" s="179"/>
      <c r="K2" s="180" t="s">
        <v>3</v>
      </c>
      <c r="L2" s="179"/>
      <c r="M2" s="179"/>
      <c r="N2" s="179"/>
    </row>
    <row r="3" spans="2:25" x14ac:dyDescent="0.2">
      <c r="B3" s="83"/>
      <c r="C3" s="84"/>
      <c r="F3" s="85" t="s">
        <v>4</v>
      </c>
      <c r="J3" s="181" t="s">
        <v>5</v>
      </c>
      <c r="K3" s="181"/>
      <c r="L3" s="181"/>
      <c r="M3" s="182">
        <v>1</v>
      </c>
      <c r="N3" s="183">
        <v>10000</v>
      </c>
    </row>
    <row r="4" spans="2:25" ht="17" thickBot="1" x14ac:dyDescent="0.25">
      <c r="C4" s="86">
        <v>100</v>
      </c>
      <c r="D4" s="23" t="s">
        <v>6</v>
      </c>
      <c r="E4" s="23" t="s">
        <v>7</v>
      </c>
      <c r="F4" s="23" t="s">
        <v>8</v>
      </c>
      <c r="G4" s="87" t="s">
        <v>9</v>
      </c>
      <c r="H4" s="23" t="s">
        <v>10</v>
      </c>
      <c r="I4" s="23" t="s">
        <v>11</v>
      </c>
      <c r="J4" s="181" t="s">
        <v>12</v>
      </c>
      <c r="K4" s="181"/>
      <c r="L4" s="181"/>
      <c r="M4" s="184">
        <v>0</v>
      </c>
      <c r="N4" s="185">
        <v>0</v>
      </c>
      <c r="P4" s="11"/>
    </row>
    <row r="5" spans="2:25" ht="17" thickBot="1" x14ac:dyDescent="0.25">
      <c r="B5" s="87" t="s">
        <v>13</v>
      </c>
      <c r="C5" s="269">
        <v>233</v>
      </c>
      <c r="D5" s="270">
        <v>8000</v>
      </c>
      <c r="E5" s="90">
        <f>+quintales_2023*D5</f>
        <v>1864000</v>
      </c>
      <c r="F5" s="270">
        <v>7.75</v>
      </c>
      <c r="G5" s="91">
        <f>+E5/TC_2023</f>
        <v>240516.12903225806</v>
      </c>
      <c r="H5" s="92">
        <f>C5*D6*0.97</f>
        <v>10396.459999999999</v>
      </c>
      <c r="I5" s="186">
        <f>+G5/kilos_2023</f>
        <v>23.134425471002444</v>
      </c>
      <c r="J5" s="187" t="s">
        <v>14</v>
      </c>
      <c r="K5" s="181"/>
      <c r="L5" s="181"/>
      <c r="M5" s="188">
        <f>+SUM(M3:M4)</f>
        <v>1</v>
      </c>
      <c r="N5" s="189">
        <f>SUM(N3:N4)</f>
        <v>10000</v>
      </c>
      <c r="Q5" s="11" t="s">
        <v>15</v>
      </c>
      <c r="S5" s="11" t="s">
        <v>15</v>
      </c>
      <c r="U5" s="11" t="s">
        <v>16</v>
      </c>
    </row>
    <row r="6" spans="2:25" ht="33" thickBot="1" x14ac:dyDescent="0.25">
      <c r="C6" s="11">
        <v>1</v>
      </c>
      <c r="D6" s="11">
        <v>46</v>
      </c>
      <c r="G6" s="93" t="s">
        <v>17</v>
      </c>
      <c r="H6" s="75">
        <v>0.03</v>
      </c>
      <c r="P6" s="11"/>
      <c r="Q6" s="11" t="s">
        <v>18</v>
      </c>
      <c r="S6" s="11" t="s">
        <v>19</v>
      </c>
      <c r="U6" s="11" t="s">
        <v>20</v>
      </c>
      <c r="W6" s="251" t="s">
        <v>21</v>
      </c>
      <c r="X6" s="252" t="s">
        <v>22</v>
      </c>
      <c r="Y6" s="257" t="s">
        <v>23</v>
      </c>
    </row>
    <row r="7" spans="2:25" ht="16" thickBot="1" x14ac:dyDescent="0.25">
      <c r="B7" s="94" t="s">
        <v>24</v>
      </c>
      <c r="C7" s="95" t="s">
        <v>25</v>
      </c>
      <c r="D7" s="96" t="s">
        <v>23</v>
      </c>
      <c r="E7" s="97" t="s">
        <v>26</v>
      </c>
      <c r="F7" s="98" t="s">
        <v>28</v>
      </c>
      <c r="G7" s="98" t="s">
        <v>29</v>
      </c>
      <c r="H7" s="190" t="s">
        <v>30</v>
      </c>
      <c r="I7" s="98" t="s">
        <v>31</v>
      </c>
      <c r="J7" s="191" t="s">
        <v>32</v>
      </c>
      <c r="L7" s="192" t="s">
        <v>33</v>
      </c>
      <c r="M7" s="193" t="s">
        <v>6</v>
      </c>
      <c r="N7"/>
      <c r="O7" s="11"/>
      <c r="P7" s="98" t="s">
        <v>29</v>
      </c>
      <c r="R7" s="98" t="s">
        <v>29</v>
      </c>
      <c r="T7" s="98" t="s">
        <v>29</v>
      </c>
      <c r="V7" s="71"/>
      <c r="W7" s="17"/>
      <c r="X7" s="258"/>
    </row>
    <row r="8" spans="2:25" x14ac:dyDescent="0.2">
      <c r="B8" s="99">
        <f>+F8/'46k'!k_2023</f>
        <v>0.2500851251291305</v>
      </c>
      <c r="C8" s="284" t="e">
        <f>SUM(#REF!+#REF!+#REF!)</f>
        <v>#REF!</v>
      </c>
      <c r="D8" s="288" t="s">
        <v>34</v>
      </c>
      <c r="E8" s="275" t="s">
        <v>35</v>
      </c>
      <c r="F8" s="296">
        <v>2600</v>
      </c>
      <c r="G8" s="297">
        <v>33</v>
      </c>
      <c r="H8" s="194">
        <f t="shared" ref="H8:H10" si="0">+G8*F8</f>
        <v>85800</v>
      </c>
      <c r="I8" s="195">
        <f>+H8*TC_2023</f>
        <v>664950</v>
      </c>
      <c r="J8" s="196">
        <f t="shared" ref="J8:J21" si="1">+I8/$I$21</f>
        <v>0.24390590576362731</v>
      </c>
      <c r="K8" s="197">
        <f t="shared" ref="K8:K10" si="2">+F8/40</f>
        <v>65</v>
      </c>
      <c r="L8" s="198">
        <f t="shared" ref="L8:L10" si="3">+F8*2.20462/100</f>
        <v>57.320119999999996</v>
      </c>
      <c r="M8" s="199">
        <f>+G8*46*TC_2023</f>
        <v>11764.5</v>
      </c>
      <c r="N8"/>
      <c r="O8" s="53"/>
      <c r="P8" s="103">
        <v>21.5</v>
      </c>
      <c r="R8" s="103">
        <v>22.5</v>
      </c>
      <c r="T8" s="103">
        <v>16.649999999999999</v>
      </c>
      <c r="V8" s="30">
        <v>40</v>
      </c>
      <c r="W8" s="253">
        <f t="shared" ref="W8:W10" si="4">+F8/V8</f>
        <v>65</v>
      </c>
      <c r="X8" s="259" t="s">
        <v>35</v>
      </c>
    </row>
    <row r="9" spans="2:25" x14ac:dyDescent="0.2">
      <c r="B9" s="104">
        <f>+F9/'46k'!k_2023</f>
        <v>0.17313585585862881</v>
      </c>
      <c r="C9" s="284"/>
      <c r="D9" s="288"/>
      <c r="E9" s="276" t="s">
        <v>36</v>
      </c>
      <c r="F9" s="298">
        <v>1800</v>
      </c>
      <c r="G9" s="299">
        <v>38.5</v>
      </c>
      <c r="H9" s="200">
        <f t="shared" si="0"/>
        <v>69300</v>
      </c>
      <c r="I9" s="201">
        <f>+H9*TC_2023</f>
        <v>537075</v>
      </c>
      <c r="J9" s="202">
        <f t="shared" si="1"/>
        <v>0.19700092388600668</v>
      </c>
      <c r="K9" s="197">
        <f t="shared" si="2"/>
        <v>45</v>
      </c>
      <c r="L9" s="198">
        <f t="shared" si="3"/>
        <v>39.683160000000001</v>
      </c>
      <c r="M9" s="199">
        <f>+G9*46*TC_2023</f>
        <v>13725.25</v>
      </c>
      <c r="N9"/>
      <c r="O9" s="53"/>
      <c r="P9" s="108">
        <f>+P8-1</f>
        <v>20.5</v>
      </c>
      <c r="R9" s="108">
        <f>+R8-1.5</f>
        <v>21</v>
      </c>
      <c r="T9" s="108">
        <f>+T8-1.5</f>
        <v>15.149999999999999</v>
      </c>
      <c r="V9" s="30">
        <v>40</v>
      </c>
      <c r="W9" s="253">
        <f t="shared" si="4"/>
        <v>45</v>
      </c>
      <c r="X9" s="259" t="s">
        <v>36</v>
      </c>
    </row>
    <row r="10" spans="2:25" ht="16" thickBot="1" x14ac:dyDescent="0.25">
      <c r="B10" s="104">
        <f>+F10/'46k'!k_2023</f>
        <v>0.15389853854100338</v>
      </c>
      <c r="C10" s="284"/>
      <c r="D10" s="288"/>
      <c r="E10" s="276" t="s">
        <v>37</v>
      </c>
      <c r="F10" s="300">
        <v>1600</v>
      </c>
      <c r="G10" s="301">
        <v>36</v>
      </c>
      <c r="H10" s="203">
        <f t="shared" si="0"/>
        <v>57600</v>
      </c>
      <c r="I10" s="201">
        <f>+H10*TC_2023</f>
        <v>446400</v>
      </c>
      <c r="J10" s="202">
        <f t="shared" si="1"/>
        <v>0.16374102764551204</v>
      </c>
      <c r="K10" s="197">
        <f t="shared" si="2"/>
        <v>40</v>
      </c>
      <c r="L10" s="204">
        <f t="shared" si="3"/>
        <v>35.273919999999997</v>
      </c>
      <c r="M10" s="205">
        <f>+G10*46*TC_2023</f>
        <v>12834</v>
      </c>
      <c r="N10"/>
      <c r="O10" s="53"/>
      <c r="P10" s="110">
        <f>+P8-3</f>
        <v>18.5</v>
      </c>
      <c r="R10" s="110">
        <f>+R8-3.5</f>
        <v>19</v>
      </c>
      <c r="T10" s="110">
        <f>+T8-3.5</f>
        <v>13.149999999999999</v>
      </c>
      <c r="V10" s="30">
        <v>40</v>
      </c>
      <c r="W10" s="253">
        <f t="shared" si="4"/>
        <v>40</v>
      </c>
      <c r="X10" s="259" t="s">
        <v>37</v>
      </c>
    </row>
    <row r="11" spans="2:25" ht="16" thickBot="1" x14ac:dyDescent="0.25">
      <c r="B11" s="111">
        <f>+F11/'46k'!k_2023</f>
        <v>0.57711951952876273</v>
      </c>
      <c r="C11" s="285"/>
      <c r="D11" s="289"/>
      <c r="E11" s="111"/>
      <c r="F11" s="112">
        <f t="shared" ref="F11:I11" si="5">SUM(F8:F10)</f>
        <v>6000</v>
      </c>
      <c r="G11" s="113"/>
      <c r="H11" s="113">
        <f t="shared" si="5"/>
        <v>212700</v>
      </c>
      <c r="I11" s="206">
        <f t="shared" si="5"/>
        <v>1648425</v>
      </c>
      <c r="J11" s="207">
        <f t="shared" si="1"/>
        <v>0.60464785729514603</v>
      </c>
      <c r="K11" s="197"/>
      <c r="L11" s="112">
        <f>SUM(L8:L10)</f>
        <v>132.27719999999999</v>
      </c>
      <c r="M11" s="206">
        <f>IFERROR(I11/L11,0)</f>
        <v>12461.898195607408</v>
      </c>
      <c r="N11"/>
      <c r="O11" s="53"/>
      <c r="P11" s="113">
        <f t="shared" ref="P11:T11" si="6">IFERROR(Q11/O11,0)</f>
        <v>0</v>
      </c>
      <c r="R11" s="113">
        <f t="shared" si="6"/>
        <v>0</v>
      </c>
      <c r="T11" s="113">
        <f t="shared" si="6"/>
        <v>0</v>
      </c>
      <c r="V11" s="30"/>
      <c r="W11" s="253"/>
      <c r="X11" s="260"/>
    </row>
    <row r="12" spans="2:25" x14ac:dyDescent="0.2">
      <c r="B12" s="104">
        <f>+F12/'46k'!k_2023</f>
        <v>9.6186586588127121E-2</v>
      </c>
      <c r="C12" s="286" t="e">
        <f>#REF!+#REF!</f>
        <v>#REF!</v>
      </c>
      <c r="D12" s="290" t="s">
        <v>38</v>
      </c>
      <c r="E12" s="277" t="s">
        <v>39</v>
      </c>
      <c r="F12" s="298">
        <v>1000</v>
      </c>
      <c r="G12" s="299">
        <v>38</v>
      </c>
      <c r="H12" s="200">
        <f t="shared" ref="H12:H19" si="7">+G12*F12</f>
        <v>38000</v>
      </c>
      <c r="I12" s="201">
        <f>+H12*TC_2023</f>
        <v>294500</v>
      </c>
      <c r="J12" s="202">
        <f t="shared" si="1"/>
        <v>0.10802359462724753</v>
      </c>
      <c r="K12" s="197">
        <f t="shared" ref="K12:K19" si="8">+F12/40</f>
        <v>25</v>
      </c>
      <c r="L12" s="208">
        <f t="shared" ref="L12:L19" si="9">+F12*2.20462/100</f>
        <v>22.046199999999999</v>
      </c>
      <c r="M12" s="209">
        <f>+G12*46*TC_2023</f>
        <v>13547</v>
      </c>
      <c r="N12"/>
      <c r="O12" s="53"/>
      <c r="P12" s="108">
        <f t="shared" ref="P12:T12" si="10">+P8-2.5</f>
        <v>19</v>
      </c>
      <c r="Q12" s="53"/>
      <c r="R12" s="108">
        <f t="shared" si="10"/>
        <v>20</v>
      </c>
      <c r="T12" s="108">
        <f t="shared" si="10"/>
        <v>14.149999999999999</v>
      </c>
      <c r="V12" s="30">
        <v>40</v>
      </c>
      <c r="W12" s="253">
        <f t="shared" ref="W12:W19" si="11">+F12/V12</f>
        <v>25</v>
      </c>
      <c r="X12" s="259" t="s">
        <v>39</v>
      </c>
    </row>
    <row r="13" spans="2:25" ht="16" thickBot="1" x14ac:dyDescent="0.25">
      <c r="B13" s="104">
        <f>+F13/'46k'!k_2023</f>
        <v>9.6186586588127121E-2</v>
      </c>
      <c r="C13" s="284"/>
      <c r="D13" s="291"/>
      <c r="E13" s="278" t="s">
        <v>40</v>
      </c>
      <c r="F13" s="300">
        <v>1000</v>
      </c>
      <c r="G13" s="301">
        <v>32.75</v>
      </c>
      <c r="H13" s="203">
        <f t="shared" si="7"/>
        <v>32750</v>
      </c>
      <c r="I13" s="201">
        <f>+H13*TC_2023</f>
        <v>253812.5</v>
      </c>
      <c r="J13" s="202">
        <f t="shared" si="1"/>
        <v>9.309928221164096E-2</v>
      </c>
      <c r="K13" s="197">
        <f t="shared" si="8"/>
        <v>25</v>
      </c>
      <c r="L13" s="204">
        <f t="shared" si="9"/>
        <v>22.046199999999999</v>
      </c>
      <c r="M13" s="205">
        <f>+G13*46*TC_2023</f>
        <v>11675.375</v>
      </c>
      <c r="N13"/>
      <c r="O13" s="53"/>
      <c r="P13" s="110">
        <f>+P8-4.5</f>
        <v>17</v>
      </c>
      <c r="Q13" s="53"/>
      <c r="R13" s="110">
        <f>+R8-3.75</f>
        <v>18.75</v>
      </c>
      <c r="T13" s="110">
        <f>+T8-4.5</f>
        <v>12.149999999999999</v>
      </c>
      <c r="V13" s="30">
        <v>40</v>
      </c>
      <c r="W13" s="253">
        <f t="shared" si="11"/>
        <v>25</v>
      </c>
      <c r="X13" s="261" t="s">
        <v>40</v>
      </c>
    </row>
    <row r="14" spans="2:25" ht="16" thickBot="1" x14ac:dyDescent="0.25">
      <c r="B14" s="111">
        <f>+F14/'46k'!k_2023</f>
        <v>0.19237317317625424</v>
      </c>
      <c r="C14" s="287"/>
      <c r="D14" s="115">
        <f>+(H11+H14)/E14</f>
        <v>35.431249999999999</v>
      </c>
      <c r="E14" s="116">
        <f>+F11+F14</f>
        <v>8000</v>
      </c>
      <c r="F14" s="112">
        <f>F12+F13</f>
        <v>2000</v>
      </c>
      <c r="G14" s="113"/>
      <c r="H14" s="113">
        <f t="shared" ref="H14:I14" si="12">SUM(H12:H13)</f>
        <v>70750</v>
      </c>
      <c r="I14" s="206">
        <f t="shared" si="12"/>
        <v>548312.5</v>
      </c>
      <c r="J14" s="207">
        <f t="shared" si="1"/>
        <v>0.20112287683888849</v>
      </c>
      <c r="K14" s="197"/>
      <c r="L14" s="112">
        <f>SUM(L12:L13)</f>
        <v>44.092399999999998</v>
      </c>
      <c r="M14" s="206">
        <f>IFERROR(I14/L14,0)</f>
        <v>12435.53310774646</v>
      </c>
      <c r="N14"/>
      <c r="O14" s="11"/>
      <c r="P14" s="113">
        <f t="shared" ref="P14:T14" si="13">IFERROR(Q14/O14,0)</f>
        <v>0</v>
      </c>
      <c r="R14" s="113">
        <f t="shared" si="13"/>
        <v>0</v>
      </c>
      <c r="T14" s="113">
        <f t="shared" si="13"/>
        <v>0</v>
      </c>
      <c r="V14" s="30"/>
      <c r="W14" s="253"/>
      <c r="X14" s="262"/>
    </row>
    <row r="15" spans="2:25" x14ac:dyDescent="0.2">
      <c r="B15" s="117">
        <f>+F15/'46k'!k_2023</f>
        <v>8.6567927929314406E-2</v>
      </c>
      <c r="C15" s="118">
        <v>0.05</v>
      </c>
      <c r="D15" s="119" t="s">
        <v>41</v>
      </c>
      <c r="E15" s="279" t="s">
        <v>43</v>
      </c>
      <c r="F15" s="298">
        <v>900</v>
      </c>
      <c r="G15" s="299">
        <v>29.25</v>
      </c>
      <c r="H15" s="200">
        <f t="shared" si="7"/>
        <v>26325</v>
      </c>
      <c r="I15" s="201">
        <f>+H15*TC_2023</f>
        <v>204018.75</v>
      </c>
      <c r="J15" s="202">
        <f t="shared" si="1"/>
        <v>7.4834766541112929E-2</v>
      </c>
      <c r="K15" s="197">
        <f t="shared" si="8"/>
        <v>22.5</v>
      </c>
      <c r="L15" s="208">
        <f t="shared" si="9"/>
        <v>19.84158</v>
      </c>
      <c r="M15" s="199">
        <f>+G15*46*TC_2023</f>
        <v>10427.625</v>
      </c>
      <c r="N15"/>
      <c r="O15" s="11"/>
      <c r="P15" s="108">
        <f>+P8-7.5</f>
        <v>14</v>
      </c>
      <c r="R15" s="108">
        <f>+R8-11.75</f>
        <v>10.75</v>
      </c>
      <c r="T15" s="108">
        <f>+T8-9</f>
        <v>7.6499999999999986</v>
      </c>
      <c r="V15" s="30">
        <v>40</v>
      </c>
      <c r="W15" s="253">
        <f t="shared" si="11"/>
        <v>22.5</v>
      </c>
      <c r="X15" s="263" t="s">
        <v>41</v>
      </c>
    </row>
    <row r="16" spans="2:25" x14ac:dyDescent="0.2">
      <c r="B16" s="117">
        <f>+F16/'46k'!k_2023</f>
        <v>0</v>
      </c>
      <c r="C16" s="118">
        <v>0.16</v>
      </c>
      <c r="D16" s="122" t="s">
        <v>42</v>
      </c>
      <c r="E16" s="280" t="s">
        <v>167</v>
      </c>
      <c r="F16" s="298"/>
      <c r="G16" s="299">
        <v>29.25</v>
      </c>
      <c r="H16" s="200">
        <f t="shared" si="7"/>
        <v>0</v>
      </c>
      <c r="I16" s="201">
        <f>+H16*TC_2023</f>
        <v>0</v>
      </c>
      <c r="J16" s="202">
        <f t="shared" si="1"/>
        <v>0</v>
      </c>
      <c r="K16" s="197">
        <f t="shared" si="8"/>
        <v>0</v>
      </c>
      <c r="L16" s="198">
        <f t="shared" si="9"/>
        <v>0</v>
      </c>
      <c r="M16" s="199">
        <f>+G16*46*TC_2023</f>
        <v>10427.625</v>
      </c>
      <c r="N16"/>
      <c r="O16" s="11"/>
      <c r="P16" s="108">
        <f>+P8-6</f>
        <v>15.5</v>
      </c>
      <c r="R16" s="108">
        <f>+R8-6</f>
        <v>16.5</v>
      </c>
      <c r="T16" s="108">
        <f>+T8-6.75</f>
        <v>9.8999999999999986</v>
      </c>
      <c r="V16" s="30">
        <v>40</v>
      </c>
      <c r="W16" s="253">
        <f t="shared" si="11"/>
        <v>0</v>
      </c>
      <c r="X16" s="263" t="s">
        <v>42</v>
      </c>
    </row>
    <row r="17" spans="2:24" x14ac:dyDescent="0.2">
      <c r="B17" s="117">
        <f>+F17/'46k'!k_2023</f>
        <v>0</v>
      </c>
      <c r="C17" s="118">
        <v>0.1</v>
      </c>
      <c r="D17" s="124" t="s">
        <v>43</v>
      </c>
      <c r="E17" s="280" t="s">
        <v>41</v>
      </c>
      <c r="F17" s="298"/>
      <c r="G17" s="299">
        <v>24.5</v>
      </c>
      <c r="H17" s="200">
        <f t="shared" si="7"/>
        <v>0</v>
      </c>
      <c r="I17" s="201">
        <f>+H17*TC_2023</f>
        <v>0</v>
      </c>
      <c r="J17" s="202">
        <f t="shared" si="1"/>
        <v>0</v>
      </c>
      <c r="K17" s="197">
        <f t="shared" si="8"/>
        <v>0</v>
      </c>
      <c r="L17" s="198">
        <f t="shared" si="9"/>
        <v>0</v>
      </c>
      <c r="M17" s="199">
        <f>+G17*46*TC_2023</f>
        <v>8734.25</v>
      </c>
      <c r="N17"/>
      <c r="O17" s="11"/>
      <c r="P17" s="108">
        <f>+P8-6</f>
        <v>15.5</v>
      </c>
      <c r="R17" s="108">
        <f>+R8-5.5</f>
        <v>17</v>
      </c>
      <c r="T17" s="108">
        <f>+T8-6.5</f>
        <v>10.149999999999999</v>
      </c>
      <c r="V17" s="30">
        <v>40</v>
      </c>
      <c r="W17" s="253">
        <f t="shared" si="11"/>
        <v>0</v>
      </c>
      <c r="X17" s="263" t="s">
        <v>43</v>
      </c>
    </row>
    <row r="18" spans="2:24" x14ac:dyDescent="0.2">
      <c r="B18" s="117">
        <f>+F18/'46k'!k_2023</f>
        <v>0.14427987988219068</v>
      </c>
      <c r="C18" s="118">
        <v>0.03</v>
      </c>
      <c r="D18" s="124" t="s">
        <v>45</v>
      </c>
      <c r="E18" s="280" t="s">
        <v>166</v>
      </c>
      <c r="F18" s="298">
        <v>1500</v>
      </c>
      <c r="G18" s="299">
        <v>28</v>
      </c>
      <c r="H18" s="200">
        <f t="shared" si="7"/>
        <v>42000</v>
      </c>
      <c r="I18" s="201">
        <f>+H18*TC_2023</f>
        <v>325500</v>
      </c>
      <c r="J18" s="202">
        <f t="shared" si="1"/>
        <v>0.11939449932485253</v>
      </c>
      <c r="K18" s="197">
        <f t="shared" si="8"/>
        <v>37.5</v>
      </c>
      <c r="L18" s="198">
        <f t="shared" si="9"/>
        <v>33.069299999999998</v>
      </c>
      <c r="M18" s="199">
        <f>+G18*46*TC_2023</f>
        <v>9982</v>
      </c>
      <c r="N18"/>
      <c r="O18" s="11"/>
      <c r="P18" s="108">
        <f>P8-5.5</f>
        <v>16</v>
      </c>
      <c r="R18" s="108">
        <f>R8-5.5</f>
        <v>17</v>
      </c>
      <c r="T18" s="108">
        <f>T8-6.5</f>
        <v>10.149999999999999</v>
      </c>
      <c r="V18" s="30">
        <v>40</v>
      </c>
      <c r="W18" s="253">
        <f t="shared" si="11"/>
        <v>37.5</v>
      </c>
      <c r="X18" s="263" t="s">
        <v>46</v>
      </c>
    </row>
    <row r="19" spans="2:24" ht="16" thickBot="1" x14ac:dyDescent="0.25">
      <c r="B19" s="117">
        <f>+F19/'46k'!k_2023</f>
        <v>0</v>
      </c>
      <c r="C19" s="118">
        <v>0.14000000000000001</v>
      </c>
      <c r="D19" s="124" t="s">
        <v>44</v>
      </c>
      <c r="E19" s="280" t="s">
        <v>46</v>
      </c>
      <c r="F19" s="298"/>
      <c r="G19" s="299">
        <v>29</v>
      </c>
      <c r="H19" s="200">
        <f t="shared" si="7"/>
        <v>0</v>
      </c>
      <c r="I19" s="201">
        <f>+H19*TC_2023</f>
        <v>0</v>
      </c>
      <c r="J19" s="202">
        <f t="shared" si="1"/>
        <v>0</v>
      </c>
      <c r="K19" s="197">
        <f t="shared" si="8"/>
        <v>0</v>
      </c>
      <c r="L19" s="198">
        <f t="shared" si="9"/>
        <v>0</v>
      </c>
      <c r="M19" s="199">
        <f>+G19*46*TC_2023</f>
        <v>10338.5</v>
      </c>
      <c r="O19" s="11"/>
      <c r="P19" s="108">
        <f>+P8-6.5</f>
        <v>15</v>
      </c>
      <c r="R19" s="108">
        <f>+R8-6.5</f>
        <v>16</v>
      </c>
      <c r="T19" s="108">
        <f>+T8-8</f>
        <v>8.6499999999999986</v>
      </c>
      <c r="V19" s="254">
        <v>40</v>
      </c>
      <c r="W19" s="253">
        <f t="shared" si="11"/>
        <v>0</v>
      </c>
      <c r="X19" s="264" t="s">
        <v>44</v>
      </c>
    </row>
    <row r="20" spans="2:24" ht="16" thickBot="1" x14ac:dyDescent="0.25">
      <c r="B20" s="111">
        <f>+F20/'46k'!k_2023</f>
        <v>0.2308478078115051</v>
      </c>
      <c r="C20" s="125"/>
      <c r="D20" s="126"/>
      <c r="E20" s="127"/>
      <c r="F20" s="129">
        <f>F15+F16+F17+F18+F19</f>
        <v>2400</v>
      </c>
      <c r="G20" s="113">
        <f>IFERROR(H20/F20,0)</f>
        <v>28.46875</v>
      </c>
      <c r="H20" s="113">
        <f t="shared" ref="H20:I20" si="14">SUM(H15:H19)</f>
        <v>68325</v>
      </c>
      <c r="I20" s="206">
        <f t="shared" si="14"/>
        <v>529518.75</v>
      </c>
      <c r="J20" s="210">
        <f t="shared" si="1"/>
        <v>0.19422926586596545</v>
      </c>
      <c r="K20" s="46"/>
      <c r="L20" s="129">
        <f>SUM(L15:L19)</f>
        <v>52.910879999999999</v>
      </c>
      <c r="M20" s="206">
        <f>IFERROR(I20/L20,0)</f>
        <v>10007.747933884299</v>
      </c>
      <c r="O20" s="11"/>
      <c r="P20" s="113">
        <f t="shared" ref="P20:T21" si="15">IFERROR(Q20/O20,0)</f>
        <v>0</v>
      </c>
      <c r="R20" s="113">
        <f t="shared" si="15"/>
        <v>0</v>
      </c>
      <c r="T20" s="113">
        <f t="shared" si="15"/>
        <v>0</v>
      </c>
    </row>
    <row r="21" spans="2:24" ht="16" thickBot="1" x14ac:dyDescent="0.25">
      <c r="B21" s="130">
        <f>+F21/'46k'!k_2023</f>
        <v>1.000340500516522</v>
      </c>
      <c r="C21" s="131" t="e">
        <f>+SUM(C7:C19)</f>
        <v>#REF!</v>
      </c>
      <c r="D21" s="132" t="s">
        <v>47</v>
      </c>
      <c r="E21" s="133" t="s">
        <v>48</v>
      </c>
      <c r="F21" s="134">
        <f>F11+F14+F20</f>
        <v>10400</v>
      </c>
      <c r="G21" s="113">
        <f>IFERROR(H21/F21,0)</f>
        <v>33.824519230769234</v>
      </c>
      <c r="H21" s="211">
        <f t="shared" ref="H21" si="16">+H11+H14+H20</f>
        <v>351775</v>
      </c>
      <c r="I21" s="206">
        <f>+H21*TC_2023</f>
        <v>2726256.25</v>
      </c>
      <c r="J21" s="207">
        <f t="shared" si="1"/>
        <v>1</v>
      </c>
      <c r="K21" s="46"/>
      <c r="L21" s="212">
        <f>+L11+L14+L20</f>
        <v>229.28047999999998</v>
      </c>
      <c r="M21" s="206">
        <f>IFERROR(I21/L21,0)</f>
        <v>11890.485618313431</v>
      </c>
      <c r="O21" s="11"/>
      <c r="P21" s="113">
        <f t="shared" si="15"/>
        <v>0</v>
      </c>
      <c r="R21" s="113">
        <f t="shared" si="15"/>
        <v>0</v>
      </c>
      <c r="T21" s="113">
        <f t="shared" si="15"/>
        <v>0</v>
      </c>
    </row>
    <row r="22" spans="2:24" ht="7.25" customHeight="1" thickBot="1" x14ac:dyDescent="0.25">
      <c r="F22" s="135"/>
      <c r="G22" s="136"/>
      <c r="H22" s="137"/>
      <c r="I22" s="137"/>
      <c r="J22" s="137"/>
      <c r="O22" s="11"/>
      <c r="P22" s="11"/>
    </row>
    <row r="23" spans="2:24" ht="16" thickBot="1" x14ac:dyDescent="0.25">
      <c r="E23" s="138" t="s">
        <v>49</v>
      </c>
      <c r="F23" s="139"/>
      <c r="G23" s="140">
        <f>+kilos_2023</f>
        <v>10396.459999999999</v>
      </c>
      <c r="H23" s="141">
        <f t="shared" ref="H23:H28" si="17">+I23/G23</f>
        <v>23.134425471002444</v>
      </c>
      <c r="I23" s="213">
        <f>+J23/TC_2023</f>
        <v>240516.12903225806</v>
      </c>
      <c r="J23" s="201">
        <f>+E5</f>
        <v>1864000</v>
      </c>
      <c r="K23" s="202">
        <f>J23/I21</f>
        <v>0.68372149536566862</v>
      </c>
      <c r="M23" s="79"/>
      <c r="N23" s="79"/>
      <c r="O23" s="11"/>
      <c r="P23" s="11"/>
    </row>
    <row r="24" spans="2:24" ht="6" customHeight="1" thickBot="1" x14ac:dyDescent="0.25">
      <c r="E24" s="142"/>
      <c r="H24" s="143"/>
      <c r="O24" s="11"/>
    </row>
    <row r="25" spans="2:24" ht="16" thickBot="1" x14ac:dyDescent="0.25">
      <c r="E25" s="144" t="s">
        <v>50</v>
      </c>
      <c r="F25" s="145"/>
      <c r="G25" s="146">
        <f>+kilos_2023</f>
        <v>10396.459999999999</v>
      </c>
      <c r="H25" s="147">
        <f t="shared" si="17"/>
        <v>10.701611026035973</v>
      </c>
      <c r="I25" s="214">
        <f>+H21-I23</f>
        <v>111258.87096774194</v>
      </c>
      <c r="J25" s="215">
        <f>+I21-J23</f>
        <v>862256.25</v>
      </c>
      <c r="K25" s="216">
        <f>I25/I23</f>
        <v>0.46258382510729618</v>
      </c>
      <c r="O25" s="11"/>
    </row>
    <row r="26" spans="2:24" ht="5.5" customHeight="1" x14ac:dyDescent="0.2">
      <c r="E26" s="142"/>
      <c r="H26" s="143"/>
      <c r="O26" s="11"/>
    </row>
    <row r="27" spans="2:24" ht="15" customHeight="1" x14ac:dyDescent="0.2">
      <c r="D27" s="148" t="s">
        <v>51</v>
      </c>
      <c r="E27" s="149" t="s">
        <v>52</v>
      </c>
      <c r="F27" s="150"/>
      <c r="G27" s="151">
        <f>+kilos_2023</f>
        <v>10396.459999999999</v>
      </c>
      <c r="H27" s="152">
        <f t="shared" si="17"/>
        <v>0</v>
      </c>
      <c r="I27" s="217">
        <f>+Anexo1_Gtos_Compra!D11</f>
        <v>0</v>
      </c>
      <c r="J27" s="218">
        <f>+Anexo1_Gtos_Compra!C11</f>
        <v>0</v>
      </c>
      <c r="K27" s="219">
        <f t="shared" ref="K27:K33" si="18">+J27/$I$21</f>
        <v>0</v>
      </c>
      <c r="L27" s="292">
        <f>+K27+K28</f>
        <v>1.4529081776520457E-2</v>
      </c>
      <c r="O27" s="11"/>
    </row>
    <row r="28" spans="2:24" ht="15" customHeight="1" x14ac:dyDescent="0.2">
      <c r="D28" s="148" t="s">
        <v>53</v>
      </c>
      <c r="E28" s="149" t="s">
        <v>54</v>
      </c>
      <c r="F28" s="150"/>
      <c r="G28" s="151">
        <f>+kilos_2023</f>
        <v>10396.459999999999</v>
      </c>
      <c r="H28" s="152">
        <f t="shared" si="17"/>
        <v>0.49160654125880199</v>
      </c>
      <c r="I28" s="217">
        <f>+Anexo2_maquila!D6</f>
        <v>5110.9677419354839</v>
      </c>
      <c r="J28" s="218">
        <f>+Anexo2_maquila!C6</f>
        <v>39610</v>
      </c>
      <c r="K28" s="219">
        <f t="shared" si="18"/>
        <v>1.4529081776520457E-2</v>
      </c>
      <c r="L28" s="293"/>
      <c r="O28" s="11"/>
      <c r="R28" s="11">
        <v>720</v>
      </c>
      <c r="S28" s="11">
        <f>R28/R38</f>
        <v>7.1999999999999995E-2</v>
      </c>
      <c r="T28" s="11">
        <f t="shared" ref="T28:T37" si="19">S28*100</f>
        <v>7.1999999999999993</v>
      </c>
    </row>
    <row r="29" spans="2:24" ht="15" customHeight="1" x14ac:dyDescent="0.2">
      <c r="D29" s="148" t="s">
        <v>55</v>
      </c>
      <c r="E29" s="149" t="s">
        <v>56</v>
      </c>
      <c r="F29" s="150"/>
      <c r="G29" s="151">
        <f>+M3</f>
        <v>1</v>
      </c>
      <c r="H29" s="152">
        <f>+Anexo3_Cont_20!G19</f>
        <v>0.61435300000000004</v>
      </c>
      <c r="I29" s="217">
        <f>+Anexo3_Cont_20!D19*G29</f>
        <v>6143.53</v>
      </c>
      <c r="J29" s="218">
        <f>+Anexo3_Cont_20!C19*G29</f>
        <v>47612.357499999998</v>
      </c>
      <c r="K29" s="219">
        <f t="shared" si="18"/>
        <v>1.7464373534219316E-2</v>
      </c>
      <c r="L29" s="281">
        <f>+K29+K30+K31+K32</f>
        <v>2.3452140038113425E-2</v>
      </c>
      <c r="O29" s="11"/>
      <c r="R29" s="11">
        <v>1240</v>
      </c>
      <c r="S29" s="11">
        <f>R29/R38</f>
        <v>0.124</v>
      </c>
      <c r="T29" s="11">
        <f t="shared" si="19"/>
        <v>12.4</v>
      </c>
    </row>
    <row r="30" spans="2:24" ht="15" customHeight="1" x14ac:dyDescent="0.2">
      <c r="D30" s="148" t="s">
        <v>55</v>
      </c>
      <c r="E30" s="149" t="s">
        <v>57</v>
      </c>
      <c r="F30" s="150"/>
      <c r="G30" s="151">
        <f>+N3</f>
        <v>10000</v>
      </c>
      <c r="H30" s="152">
        <f>+Anexo3_Cont_20!G32</f>
        <v>0.21063465619073493</v>
      </c>
      <c r="I30" s="217">
        <f>+G30*H30</f>
        <v>2106.3465619073495</v>
      </c>
      <c r="J30" s="218">
        <f>+I30*TC_2023</f>
        <v>16324.185854781959</v>
      </c>
      <c r="K30" s="219">
        <f t="shared" si="18"/>
        <v>5.9877665038941073E-3</v>
      </c>
      <c r="L30" s="282"/>
      <c r="O30" s="11"/>
      <c r="R30" s="11">
        <v>1280</v>
      </c>
      <c r="S30" s="11">
        <f>R30/R38</f>
        <v>0.128</v>
      </c>
      <c r="T30" s="11">
        <f t="shared" si="19"/>
        <v>12.8</v>
      </c>
    </row>
    <row r="31" spans="2:24" x14ac:dyDescent="0.2">
      <c r="D31" s="148" t="s">
        <v>58</v>
      </c>
      <c r="E31" s="149" t="s">
        <v>59</v>
      </c>
      <c r="F31" s="150"/>
      <c r="G31" s="151">
        <f>+M4</f>
        <v>0</v>
      </c>
      <c r="H31" s="152">
        <f>+Anexo4_Cont_40!G16</f>
        <v>0</v>
      </c>
      <c r="I31" s="217">
        <f>+J31/TC_2023</f>
        <v>0</v>
      </c>
      <c r="J31" s="218">
        <f>+Anexo4_Cont_40!C16*G31</f>
        <v>0</v>
      </c>
      <c r="K31" s="219">
        <f t="shared" si="18"/>
        <v>0</v>
      </c>
      <c r="L31" s="282"/>
      <c r="O31" s="11"/>
      <c r="R31" s="11">
        <v>800</v>
      </c>
      <c r="S31" s="11">
        <f>R31/R38</f>
        <v>0.08</v>
      </c>
      <c r="T31" s="11">
        <f t="shared" si="19"/>
        <v>8</v>
      </c>
    </row>
    <row r="32" spans="2:24" x14ac:dyDescent="0.2">
      <c r="D32" s="148" t="s">
        <v>58</v>
      </c>
      <c r="E32" s="149" t="s">
        <v>60</v>
      </c>
      <c r="F32" s="150"/>
      <c r="G32" s="151">
        <f>+N4</f>
        <v>0</v>
      </c>
      <c r="H32" s="152">
        <f>+Anexo4_Cont_40!G29</f>
        <v>0</v>
      </c>
      <c r="I32" s="217">
        <f>+J32/TC_2023</f>
        <v>0</v>
      </c>
      <c r="J32" s="218">
        <f>+Anexo4_Cont_40!C29</f>
        <v>0</v>
      </c>
      <c r="K32" s="219">
        <f t="shared" si="18"/>
        <v>0</v>
      </c>
      <c r="L32" s="283"/>
      <c r="O32" s="11"/>
      <c r="R32" s="11">
        <v>1200</v>
      </c>
      <c r="S32" s="11">
        <f>R32/R38</f>
        <v>0.12</v>
      </c>
      <c r="T32" s="11">
        <f t="shared" si="19"/>
        <v>12</v>
      </c>
    </row>
    <row r="33" spans="4:20" x14ac:dyDescent="0.2">
      <c r="D33" s="148" t="s">
        <v>61</v>
      </c>
      <c r="E33" s="149" t="s">
        <v>62</v>
      </c>
      <c r="F33" s="150"/>
      <c r="G33" s="151">
        <f>+kilos_2023</f>
        <v>10396.459999999999</v>
      </c>
      <c r="H33" s="152">
        <f t="shared" ref="H33:H37" si="20">+I33/G33</f>
        <v>0.94866249999999996</v>
      </c>
      <c r="I33" s="217">
        <f>+Anexo5_Gtos_variables!E12</f>
        <v>9862.7317347499993</v>
      </c>
      <c r="J33" s="218">
        <f>+I33*7.8</f>
        <v>76929.307531049999</v>
      </c>
      <c r="K33" s="219">
        <f t="shared" si="18"/>
        <v>2.8217929818977947E-2</v>
      </c>
      <c r="L33" s="220">
        <f>+K33</f>
        <v>2.8217929818977947E-2</v>
      </c>
      <c r="O33" s="11"/>
      <c r="R33" s="11">
        <v>680</v>
      </c>
      <c r="S33" s="11">
        <f>R33/R38</f>
        <v>6.8000000000000005E-2</v>
      </c>
      <c r="T33" s="11">
        <f t="shared" si="19"/>
        <v>6.8000000000000007</v>
      </c>
    </row>
    <row r="34" spans="4:20" ht="16" thickBot="1" x14ac:dyDescent="0.25">
      <c r="E34" s="142"/>
      <c r="H34" s="153"/>
      <c r="I34" s="137"/>
      <c r="L34" s="221"/>
      <c r="O34" s="11"/>
      <c r="R34" s="11">
        <v>1600</v>
      </c>
      <c r="S34" s="11">
        <f>R34/R38</f>
        <v>0.16</v>
      </c>
      <c r="T34" s="11">
        <f t="shared" si="19"/>
        <v>16</v>
      </c>
    </row>
    <row r="35" spans="4:20" ht="16" thickBot="1" x14ac:dyDescent="0.25">
      <c r="E35" s="154" t="s">
        <v>63</v>
      </c>
      <c r="F35" s="155"/>
      <c r="G35" s="156">
        <f>+kilos_2023</f>
        <v>10396.459999999999</v>
      </c>
      <c r="H35" s="157">
        <f t="shared" si="20"/>
        <v>2.2337965075220638</v>
      </c>
      <c r="I35" s="222">
        <f>SUM(I27:I33)</f>
        <v>23223.576038592833</v>
      </c>
      <c r="J35" s="223">
        <f>SUM(J27:J33)</f>
        <v>180475.85088583195</v>
      </c>
      <c r="K35" s="224">
        <f>J35/J23</f>
        <v>9.6821808415145899E-2</v>
      </c>
      <c r="O35" s="11"/>
      <c r="R35" s="11">
        <v>1000</v>
      </c>
      <c r="S35" s="11">
        <f>R35/R38</f>
        <v>0.1</v>
      </c>
      <c r="T35" s="11">
        <f t="shared" si="19"/>
        <v>10</v>
      </c>
    </row>
    <row r="36" spans="4:20" ht="7.25" customHeight="1" thickBot="1" x14ac:dyDescent="0.25">
      <c r="E36" s="142"/>
      <c r="H36" s="143"/>
      <c r="I36" s="137"/>
      <c r="O36" s="11"/>
      <c r="T36" s="11">
        <f t="shared" si="19"/>
        <v>0</v>
      </c>
    </row>
    <row r="37" spans="4:20" ht="20" thickBot="1" x14ac:dyDescent="0.3">
      <c r="E37" s="158" t="s">
        <v>64</v>
      </c>
      <c r="F37" s="159"/>
      <c r="G37" s="160">
        <f>+kilos_2023</f>
        <v>10396.459999999999</v>
      </c>
      <c r="H37" s="161">
        <f t="shared" si="20"/>
        <v>8.4678145185139098</v>
      </c>
      <c r="I37" s="225">
        <f>+I25-I35</f>
        <v>88035.29492914911</v>
      </c>
      <c r="J37" s="226">
        <f>+J25-J35</f>
        <v>681780.39911416802</v>
      </c>
      <c r="K37" s="227">
        <f>J37/J23</f>
        <v>0.36576201669215025</v>
      </c>
      <c r="N37" s="228" t="s">
        <v>65</v>
      </c>
      <c r="O37" s="11"/>
      <c r="R37" s="11">
        <v>1480</v>
      </c>
      <c r="S37" s="11">
        <f>R37/R38</f>
        <v>0.14799999999999999</v>
      </c>
      <c r="T37" s="11">
        <f t="shared" si="19"/>
        <v>14.799999999999999</v>
      </c>
    </row>
    <row r="38" spans="4:20" x14ac:dyDescent="0.2">
      <c r="H38" s="143"/>
      <c r="N38" s="229" t="s">
        <v>66</v>
      </c>
      <c r="O38" s="230" t="s">
        <v>67</v>
      </c>
      <c r="R38" s="11">
        <f>SUM(R28:R37)</f>
        <v>10000</v>
      </c>
    </row>
    <row r="39" spans="4:20" x14ac:dyDescent="0.2">
      <c r="D39" s="142"/>
      <c r="E39" s="149" t="s">
        <v>68</v>
      </c>
      <c r="F39" s="150"/>
      <c r="G39" s="162">
        <f>+kilos_2023</f>
        <v>10396.459999999999</v>
      </c>
      <c r="H39" s="152">
        <f>+I39/G39</f>
        <v>0.30983593478960336</v>
      </c>
      <c r="I39" s="231">
        <f>+J39/TC_2023</f>
        <v>3221.1969026027195</v>
      </c>
      <c r="J39" s="232">
        <f>+O41</f>
        <v>24964.275995171076</v>
      </c>
      <c r="K39" s="233">
        <f>J39/J23</f>
        <v>1.3392851928739848E-2</v>
      </c>
      <c r="N39" s="234">
        <v>9.7500000000000003E-2</v>
      </c>
      <c r="O39" s="235">
        <v>1.5</v>
      </c>
    </row>
    <row r="40" spans="4:20" ht="16" thickBot="1" x14ac:dyDescent="0.25">
      <c r="E40" s="142"/>
      <c r="H40" s="143"/>
      <c r="N40" s="229" t="s">
        <v>69</v>
      </c>
      <c r="O40" s="229" t="s">
        <v>70</v>
      </c>
    </row>
    <row r="41" spans="4:20" ht="20" thickBot="1" x14ac:dyDescent="0.3">
      <c r="E41" s="163" t="s">
        <v>71</v>
      </c>
      <c r="F41" s="159"/>
      <c r="G41" s="160">
        <f>+kilos_2023</f>
        <v>10396.459999999999</v>
      </c>
      <c r="H41" s="161">
        <f t="shared" ref="H41:J41" si="21">+H37-H39</f>
        <v>8.1579785837243062</v>
      </c>
      <c r="I41" s="225">
        <f t="shared" si="21"/>
        <v>84814.098026546388</v>
      </c>
      <c r="J41" s="226">
        <f t="shared" si="21"/>
        <v>656816.12311899697</v>
      </c>
      <c r="K41" s="236">
        <f>J41/J23</f>
        <v>0.3523691647634104</v>
      </c>
      <c r="L41" s="70"/>
      <c r="N41" s="237">
        <f>+J23+J35+J43</f>
        <v>2048350.850885832</v>
      </c>
      <c r="O41" s="62">
        <f>+N41*N39/12*O39</f>
        <v>24964.275995171076</v>
      </c>
    </row>
    <row r="42" spans="4:20" x14ac:dyDescent="0.2">
      <c r="E42" s="142"/>
      <c r="H42" s="164"/>
    </row>
    <row r="43" spans="4:20" x14ac:dyDescent="0.2">
      <c r="E43" s="149" t="s">
        <v>72</v>
      </c>
      <c r="F43" s="150"/>
      <c r="G43" s="162">
        <f>+kilos_2023</f>
        <v>10396.459999999999</v>
      </c>
      <c r="H43" s="152">
        <f>+I43/G43</f>
        <v>4.809329329406356E-2</v>
      </c>
      <c r="I43" s="231">
        <v>500</v>
      </c>
      <c r="J43" s="232">
        <f>+I43*TC_2023</f>
        <v>3875</v>
      </c>
      <c r="K43" s="233">
        <f>J43/J23</f>
        <v>2.0788626609442059E-3</v>
      </c>
    </row>
    <row r="44" spans="4:20" ht="16" thickBot="1" x14ac:dyDescent="0.25">
      <c r="E44" s="142"/>
      <c r="H44" s="164"/>
    </row>
    <row r="45" spans="4:20" ht="17" thickBot="1" x14ac:dyDescent="0.25">
      <c r="E45" s="165" t="s">
        <v>73</v>
      </c>
      <c r="F45" s="166"/>
      <c r="G45" s="167">
        <f>+kilos_2023</f>
        <v>10396.459999999999</v>
      </c>
      <c r="H45" s="168">
        <f t="shared" ref="H45:J45" si="22">+H41-H43</f>
        <v>8.1098852904302419</v>
      </c>
      <c r="I45" s="238">
        <f t="shared" si="22"/>
        <v>84314.098026546388</v>
      </c>
      <c r="J45" s="239">
        <f t="shared" si="22"/>
        <v>652941.12311899697</v>
      </c>
      <c r="K45" s="240">
        <f>J45/J23</f>
        <v>0.3502903021024662</v>
      </c>
      <c r="M45" s="228" t="s">
        <v>74</v>
      </c>
      <c r="O45" s="11"/>
    </row>
    <row r="46" spans="4:20" x14ac:dyDescent="0.2">
      <c r="H46" s="164"/>
      <c r="M46" s="241" t="s">
        <v>75</v>
      </c>
      <c r="N46" s="237">
        <f>+J23+J35+J39+J43</f>
        <v>2073315.1268810031</v>
      </c>
      <c r="O46" s="242">
        <f>+N47/N46</f>
        <v>0.31492613672348524</v>
      </c>
      <c r="P46" s="243" t="s">
        <v>76</v>
      </c>
      <c r="Q46" s="19"/>
    </row>
    <row r="47" spans="4:20" x14ac:dyDescent="0.2">
      <c r="E47" s="169" t="s">
        <v>77</v>
      </c>
      <c r="F47" s="170"/>
      <c r="G47" s="162">
        <f>+kilos_2023</f>
        <v>10396.459999999999</v>
      </c>
      <c r="H47" s="152">
        <f>+I47/G47</f>
        <v>2.0259412218011086</v>
      </c>
      <c r="I47" s="231">
        <f>+J47/TC_2023</f>
        <v>21062.616874806354</v>
      </c>
      <c r="J47" s="232">
        <f>+J45*0.25</f>
        <v>163235.28077974924</v>
      </c>
      <c r="K47" s="233">
        <f>J47/J23</f>
        <v>8.757257552561655E-2</v>
      </c>
      <c r="M47" s="241" t="s">
        <v>78</v>
      </c>
      <c r="N47" s="237">
        <f>+J45</f>
        <v>652941.12311899697</v>
      </c>
      <c r="O47" s="244">
        <f>+O46/O39*12</f>
        <v>2.5194090937878819</v>
      </c>
      <c r="P47" s="243" t="s">
        <v>79</v>
      </c>
      <c r="Q47" s="19"/>
    </row>
    <row r="48" spans="4:20" ht="16" thickBot="1" x14ac:dyDescent="0.25">
      <c r="H48" s="164"/>
      <c r="O48" s="11"/>
      <c r="P48" s="11"/>
    </row>
    <row r="49" spans="4:17" ht="20" thickBot="1" x14ac:dyDescent="0.3">
      <c r="E49" s="171" t="s">
        <v>80</v>
      </c>
      <c r="F49" s="172"/>
      <c r="G49" s="173">
        <f>+kilos_2023</f>
        <v>10396.459999999999</v>
      </c>
      <c r="H49" s="174">
        <f t="shared" ref="H49:J49" si="23">+H45-H47</f>
        <v>6.0839440686291333</v>
      </c>
      <c r="I49" s="245">
        <f t="shared" si="23"/>
        <v>63251.481151740038</v>
      </c>
      <c r="J49" s="246">
        <f t="shared" si="23"/>
        <v>489705.8423392477</v>
      </c>
      <c r="K49" s="247">
        <f>J49/J23</f>
        <v>0.26271772657684961</v>
      </c>
      <c r="O49" s="11"/>
      <c r="P49" s="11"/>
      <c r="Q49" s="255" t="s">
        <v>81</v>
      </c>
    </row>
    <row r="50" spans="4:17" ht="16" thickBot="1" x14ac:dyDescent="0.25">
      <c r="N50" s="248">
        <f>N41+J39</f>
        <v>2073315.1268810031</v>
      </c>
      <c r="O50" s="249">
        <f>N50/7.8</f>
        <v>265809.63165141066</v>
      </c>
      <c r="P50" s="11"/>
      <c r="Q50" s="256">
        <f>O50/10000</f>
        <v>26.580963165141068</v>
      </c>
    </row>
    <row r="51" spans="4:17" x14ac:dyDescent="0.2">
      <c r="D51" s="175"/>
      <c r="E51" s="176" t="s">
        <v>82</v>
      </c>
      <c r="H51" s="75">
        <f>H35+H39+H43+H47</f>
        <v>4.617666957406839</v>
      </c>
      <c r="I51" s="79"/>
      <c r="O51" s="11"/>
      <c r="P51" s="11"/>
    </row>
    <row r="52" spans="4:17" ht="16" thickBot="1" x14ac:dyDescent="0.25">
      <c r="D52" s="175"/>
      <c r="E52" s="177">
        <f>H51/1</f>
        <v>4.617666957406839</v>
      </c>
      <c r="K52" s="250"/>
      <c r="O52" s="11"/>
      <c r="P52" s="11"/>
    </row>
    <row r="53" spans="4:17" x14ac:dyDescent="0.2">
      <c r="D53" s="175"/>
      <c r="K53" s="26"/>
      <c r="O53" s="11"/>
      <c r="P53" s="11"/>
    </row>
    <row r="54" spans="4:17" x14ac:dyDescent="0.2">
      <c r="D54" s="175"/>
      <c r="O54" s="11"/>
      <c r="P54" s="11"/>
    </row>
    <row r="55" spans="4:17" x14ac:dyDescent="0.2">
      <c r="O55" s="11"/>
    </row>
    <row r="56" spans="4:17" x14ac:dyDescent="0.2">
      <c r="O56" s="11"/>
    </row>
    <row r="57" spans="4:17" x14ac:dyDescent="0.2">
      <c r="O57" s="11"/>
    </row>
    <row r="58" spans="4:17" x14ac:dyDescent="0.2">
      <c r="O58" s="11"/>
    </row>
    <row r="59" spans="4:17" x14ac:dyDescent="0.2">
      <c r="O59" s="11"/>
    </row>
    <row r="60" spans="4:17" x14ac:dyDescent="0.2">
      <c r="O60" s="11"/>
    </row>
    <row r="61" spans="4:17" x14ac:dyDescent="0.2">
      <c r="O61" s="11"/>
    </row>
    <row r="62" spans="4:17" x14ac:dyDescent="0.2">
      <c r="O62" s="11"/>
    </row>
    <row r="63" spans="4:17" x14ac:dyDescent="0.2">
      <c r="O63" s="11"/>
    </row>
    <row r="64" spans="4:17" x14ac:dyDescent="0.2">
      <c r="O64" s="11"/>
    </row>
    <row r="65" spans="8:15" x14ac:dyDescent="0.2">
      <c r="O65" s="11"/>
    </row>
    <row r="66" spans="8:15" x14ac:dyDescent="0.2">
      <c r="O66" s="11"/>
    </row>
    <row r="67" spans="8:15" s="26" customFormat="1" x14ac:dyDescent="0.2"/>
    <row r="68" spans="8:15" x14ac:dyDescent="0.2">
      <c r="H68" s="58"/>
    </row>
    <row r="69" spans="8:15" x14ac:dyDescent="0.2">
      <c r="H69" s="58"/>
    </row>
    <row r="70" spans="8:15" x14ac:dyDescent="0.2">
      <c r="H70" s="58"/>
    </row>
    <row r="71" spans="8:15" x14ac:dyDescent="0.2">
      <c r="H71" s="58"/>
    </row>
    <row r="72" spans="8:15" x14ac:dyDescent="0.2">
      <c r="H72" s="58"/>
    </row>
    <row r="73" spans="8:15" x14ac:dyDescent="0.2">
      <c r="H73" s="58"/>
    </row>
    <row r="74" spans="8:15" x14ac:dyDescent="0.2">
      <c r="H74" s="58"/>
    </row>
    <row r="75" spans="8:15" x14ac:dyDescent="0.2">
      <c r="H75" s="58"/>
    </row>
    <row r="76" spans="8:15" x14ac:dyDescent="0.2">
      <c r="H76" s="58"/>
    </row>
    <row r="77" spans="8:15" x14ac:dyDescent="0.2">
      <c r="H77" s="58"/>
    </row>
    <row r="78" spans="8:15" x14ac:dyDescent="0.2">
      <c r="H78" s="58"/>
    </row>
    <row r="79" spans="8:15" x14ac:dyDescent="0.2">
      <c r="H79" s="58"/>
    </row>
    <row r="80" spans="8:15" x14ac:dyDescent="0.2">
      <c r="H80" s="58"/>
    </row>
    <row r="81" spans="8:8" x14ac:dyDescent="0.2">
      <c r="H81" s="58"/>
    </row>
    <row r="82" spans="8:8" x14ac:dyDescent="0.2">
      <c r="H82" s="70"/>
    </row>
    <row r="83" spans="8:8" x14ac:dyDescent="0.2">
      <c r="H83" s="70"/>
    </row>
    <row r="84" spans="8:8" x14ac:dyDescent="0.2">
      <c r="H84" s="58"/>
    </row>
    <row r="85" spans="8:8" x14ac:dyDescent="0.2">
      <c r="H85" s="58"/>
    </row>
    <row r="86" spans="8:8" x14ac:dyDescent="0.2">
      <c r="H86" s="58"/>
    </row>
    <row r="87" spans="8:8" x14ac:dyDescent="0.2">
      <c r="H87" s="58"/>
    </row>
    <row r="88" spans="8:8" x14ac:dyDescent="0.2">
      <c r="H88" s="58"/>
    </row>
    <row r="89" spans="8:8" x14ac:dyDescent="0.2">
      <c r="H89" s="58"/>
    </row>
    <row r="90" spans="8:8" x14ac:dyDescent="0.2">
      <c r="H90" s="58"/>
    </row>
    <row r="91" spans="8:8" x14ac:dyDescent="0.2">
      <c r="H91" s="58"/>
    </row>
    <row r="92" spans="8:8" x14ac:dyDescent="0.2">
      <c r="H92" s="58"/>
    </row>
    <row r="93" spans="8:8" x14ac:dyDescent="0.2">
      <c r="H93" s="58"/>
    </row>
    <row r="94" spans="8:8" x14ac:dyDescent="0.2">
      <c r="H94" s="58"/>
    </row>
    <row r="95" spans="8:8" x14ac:dyDescent="0.2">
      <c r="H95" s="58"/>
    </row>
    <row r="96" spans="8:8" x14ac:dyDescent="0.2">
      <c r="H96" s="58"/>
    </row>
    <row r="97" spans="6:15" x14ac:dyDescent="0.2">
      <c r="H97" s="70"/>
    </row>
    <row r="98" spans="6:15" x14ac:dyDescent="0.2">
      <c r="F98" s="56"/>
      <c r="G98" s="12"/>
      <c r="H98" s="70"/>
    </row>
    <row r="99" spans="6:15" x14ac:dyDescent="0.2">
      <c r="F99" s="56"/>
      <c r="G99" s="12"/>
      <c r="H99" s="70"/>
    </row>
    <row r="100" spans="6:15" x14ac:dyDescent="0.2">
      <c r="F100" s="56"/>
      <c r="G100" s="12"/>
      <c r="H100" s="70"/>
    </row>
    <row r="101" spans="6:15" x14ac:dyDescent="0.2">
      <c r="F101" s="56"/>
      <c r="G101" s="12"/>
      <c r="H101" s="70"/>
    </row>
    <row r="102" spans="6:15" x14ac:dyDescent="0.2">
      <c r="F102" s="56"/>
      <c r="G102" s="12"/>
      <c r="H102" s="70"/>
    </row>
    <row r="103" spans="6:15" x14ac:dyDescent="0.2">
      <c r="F103" s="56"/>
      <c r="G103" s="12"/>
      <c r="H103" s="70"/>
    </row>
    <row r="104" spans="6:15" x14ac:dyDescent="0.2">
      <c r="F104" s="56"/>
      <c r="G104" s="12"/>
      <c r="H104" s="70"/>
    </row>
    <row r="105" spans="6:15" x14ac:dyDescent="0.2">
      <c r="F105" s="56"/>
      <c r="G105" s="12"/>
      <c r="H105" s="70"/>
    </row>
    <row r="106" spans="6:15" x14ac:dyDescent="0.2">
      <c r="F106" s="46"/>
      <c r="G106" s="12"/>
      <c r="H106" s="265"/>
    </row>
    <row r="107" spans="6:15" x14ac:dyDescent="0.2">
      <c r="F107" s="46"/>
      <c r="G107" s="12"/>
      <c r="H107" s="265"/>
      <c r="N107" s="12"/>
      <c r="O107" s="11"/>
    </row>
    <row r="108" spans="6:15" x14ac:dyDescent="0.2">
      <c r="F108" s="46"/>
      <c r="G108" s="12"/>
      <c r="H108" s="265"/>
      <c r="N108" s="12"/>
      <c r="O108" s="11"/>
    </row>
    <row r="109" spans="6:15" x14ac:dyDescent="0.2">
      <c r="G109" s="12"/>
      <c r="H109" s="265"/>
      <c r="N109" s="12"/>
      <c r="O109" s="11"/>
    </row>
    <row r="110" spans="6:15" x14ac:dyDescent="0.2">
      <c r="H110" s="265"/>
      <c r="O110" s="11"/>
    </row>
    <row r="111" spans="6:15" x14ac:dyDescent="0.2">
      <c r="H111" s="265"/>
      <c r="O111" s="11"/>
    </row>
    <row r="112" spans="6:15" x14ac:dyDescent="0.2">
      <c r="H112" s="265"/>
      <c r="O112" s="11"/>
    </row>
    <row r="113" spans="8:15" x14ac:dyDescent="0.2">
      <c r="H113" s="265"/>
      <c r="O113" s="11"/>
    </row>
    <row r="114" spans="8:15" x14ac:dyDescent="0.2">
      <c r="H114" s="265"/>
      <c r="O114" s="11"/>
    </row>
    <row r="115" spans="8:15" x14ac:dyDescent="0.2">
      <c r="H115" s="265"/>
      <c r="O115" s="11"/>
    </row>
    <row r="116" spans="8:15" x14ac:dyDescent="0.2">
      <c r="H116" s="265"/>
      <c r="O116" s="11"/>
    </row>
    <row r="117" spans="8:15" x14ac:dyDescent="0.2">
      <c r="H117" s="265"/>
      <c r="O117" s="11"/>
    </row>
    <row r="118" spans="8:15" x14ac:dyDescent="0.2">
      <c r="H118" s="265"/>
      <c r="O118" s="11"/>
    </row>
    <row r="119" spans="8:15" x14ac:dyDescent="0.2">
      <c r="H119" s="265"/>
      <c r="O119" s="11"/>
    </row>
    <row r="120" spans="8:15" x14ac:dyDescent="0.2">
      <c r="H120" s="265"/>
      <c r="O120" s="11"/>
    </row>
    <row r="121" spans="8:15" x14ac:dyDescent="0.2">
      <c r="H121" s="265"/>
      <c r="O121" s="11"/>
    </row>
    <row r="122" spans="8:15" x14ac:dyDescent="0.2">
      <c r="H122" s="265"/>
      <c r="O122" s="11"/>
    </row>
  </sheetData>
  <mergeCells count="6">
    <mergeCell ref="L29:L32"/>
    <mergeCell ref="C8:C11"/>
    <mergeCell ref="D8:D11"/>
    <mergeCell ref="C12:C14"/>
    <mergeCell ref="D12:D13"/>
    <mergeCell ref="L27:L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11"/>
  <sheetViews>
    <sheetView showGridLines="0" zoomScale="120" zoomScaleNormal="120" workbookViewId="0">
      <selection activeCell="L5" sqref="L5"/>
    </sheetView>
  </sheetViews>
  <sheetFormatPr baseColWidth="10" defaultColWidth="8.83203125" defaultRowHeight="15" x14ac:dyDescent="0.2"/>
  <cols>
    <col min="2" max="2" width="26" customWidth="1"/>
    <col min="3" max="3" width="13.5" customWidth="1"/>
    <col min="4" max="4" width="11.5" customWidth="1"/>
    <col min="5" max="5" width="11.33203125" customWidth="1"/>
    <col min="6" max="6" width="11.6640625" customWidth="1"/>
    <col min="7" max="8" width="11.33203125" customWidth="1"/>
    <col min="12" max="12" width="13.33203125"/>
  </cols>
  <sheetData>
    <row r="2" spans="2:13" x14ac:dyDescent="0.2">
      <c r="B2" s="10" t="s">
        <v>51</v>
      </c>
      <c r="C2" s="11"/>
      <c r="D2" s="11"/>
      <c r="E2" s="58"/>
      <c r="F2" s="11"/>
      <c r="G2" s="11"/>
      <c r="H2" s="11"/>
    </row>
    <row r="3" spans="2:13" x14ac:dyDescent="0.2">
      <c r="B3" s="27" t="s">
        <v>52</v>
      </c>
      <c r="C3" s="27" t="s">
        <v>83</v>
      </c>
      <c r="D3" s="27" t="s">
        <v>84</v>
      </c>
      <c r="E3" s="28" t="s">
        <v>33</v>
      </c>
      <c r="F3" s="27" t="s">
        <v>6</v>
      </c>
      <c r="G3" s="27" t="s">
        <v>85</v>
      </c>
      <c r="H3" s="59" t="s">
        <v>86</v>
      </c>
    </row>
    <row r="4" spans="2:13" x14ac:dyDescent="0.2">
      <c r="B4" s="71" t="s">
        <v>87</v>
      </c>
      <c r="C4" s="31">
        <f>F4*E4</f>
        <v>0</v>
      </c>
      <c r="D4" s="61">
        <f>+C4/BASE_EXPORTACION!TC_2023</f>
        <v>0</v>
      </c>
      <c r="E4" s="33">
        <f>'46k'!quintales_2023</f>
        <v>233</v>
      </c>
      <c r="F4" s="266">
        <v>0</v>
      </c>
      <c r="G4" s="63">
        <f>+F4/BASE_EXPORTACION!TC_2023</f>
        <v>0</v>
      </c>
      <c r="H4" s="64">
        <f t="shared" ref="H4:H11" si="0">+G4/46</f>
        <v>0</v>
      </c>
      <c r="K4" s="73">
        <v>2.5000000000000001E-3</v>
      </c>
      <c r="L4" s="267">
        <v>0</v>
      </c>
    </row>
    <row r="5" spans="2:13" x14ac:dyDescent="0.2">
      <c r="B5" s="30" t="s">
        <v>88</v>
      </c>
      <c r="C5" s="31">
        <f>F5*E5</f>
        <v>0</v>
      </c>
      <c r="D5" s="61">
        <f>+C5/BASE_EXPORTACION!TC_2023</f>
        <v>0</v>
      </c>
      <c r="E5" s="33">
        <f>'46k'!quintales_2023</f>
        <v>233</v>
      </c>
      <c r="F5" s="266">
        <v>0</v>
      </c>
      <c r="G5" s="63">
        <f>+F5/BASE_EXPORTACION!TC_2023</f>
        <v>0</v>
      </c>
      <c r="H5" s="64">
        <f t="shared" si="0"/>
        <v>0</v>
      </c>
      <c r="I5" t="s">
        <v>89</v>
      </c>
      <c r="L5" s="74">
        <f>L4*K4</f>
        <v>0</v>
      </c>
      <c r="M5" t="s">
        <v>90</v>
      </c>
    </row>
    <row r="6" spans="2:13" x14ac:dyDescent="0.2">
      <c r="B6" s="30" t="s">
        <v>90</v>
      </c>
      <c r="C6" s="31">
        <f>F6</f>
        <v>0</v>
      </c>
      <c r="D6" s="61">
        <f>+C6/BASE_EXPORTACION!TC_2023</f>
        <v>0</v>
      </c>
      <c r="E6" s="33">
        <f>'46k'!quintales_2023</f>
        <v>233</v>
      </c>
      <c r="F6" s="44">
        <f>L5</f>
        <v>0</v>
      </c>
      <c r="G6" s="63">
        <f>+F6/BASE_EXPORTACION!TC_2023</f>
        <v>0</v>
      </c>
      <c r="H6" s="64">
        <f t="shared" si="0"/>
        <v>0</v>
      </c>
      <c r="L6" s="74"/>
    </row>
    <row r="7" spans="2:13" x14ac:dyDescent="0.2">
      <c r="B7" s="30" t="s">
        <v>91</v>
      </c>
      <c r="C7" s="31">
        <f>F7</f>
        <v>0</v>
      </c>
      <c r="D7" s="61">
        <f>+C7/BASE_EXPORTACION!TC_2023</f>
        <v>0</v>
      </c>
      <c r="E7" s="33">
        <f>'46k'!quintales_2023</f>
        <v>233</v>
      </c>
      <c r="F7" s="44">
        <f>L8</f>
        <v>0</v>
      </c>
      <c r="G7" s="63">
        <f>+F7/BASE_EXPORTACION!TC_2023</f>
        <v>0</v>
      </c>
      <c r="H7" s="64">
        <f t="shared" si="0"/>
        <v>0</v>
      </c>
      <c r="L7" s="74"/>
    </row>
    <row r="8" spans="2:13" x14ac:dyDescent="0.2">
      <c r="B8" s="30" t="s">
        <v>92</v>
      </c>
      <c r="C8" s="31">
        <f>F8*E8</f>
        <v>0</v>
      </c>
      <c r="D8" s="61">
        <f>+C8/BASE_EXPORTACION!TC_2023</f>
        <v>0</v>
      </c>
      <c r="E8" s="33">
        <f>'46k'!quintales_2023</f>
        <v>233</v>
      </c>
      <c r="F8" s="266">
        <v>0</v>
      </c>
      <c r="G8" s="63">
        <f>+F8/BASE_EXPORTACION!TC_2023</f>
        <v>0</v>
      </c>
      <c r="H8" s="64">
        <f t="shared" si="0"/>
        <v>0</v>
      </c>
      <c r="L8" s="268">
        <v>0</v>
      </c>
      <c r="M8" t="s">
        <v>91</v>
      </c>
    </row>
    <row r="9" spans="2:13" x14ac:dyDescent="0.2">
      <c r="B9" s="30" t="s">
        <v>93</v>
      </c>
      <c r="C9" s="31">
        <f>F9*E9</f>
        <v>0</v>
      </c>
      <c r="D9" s="61">
        <f>+C9/BASE_EXPORTACION!TC_2023</f>
        <v>0</v>
      </c>
      <c r="E9" s="33">
        <f>'46k'!quintales_2023</f>
        <v>233</v>
      </c>
      <c r="F9" s="266">
        <v>0</v>
      </c>
      <c r="G9" s="63">
        <f>+F9/BASE_EXPORTACION!TC_2023</f>
        <v>0</v>
      </c>
      <c r="H9" s="64">
        <f t="shared" si="0"/>
        <v>0</v>
      </c>
      <c r="L9" s="74"/>
    </row>
    <row r="10" spans="2:13" x14ac:dyDescent="0.2">
      <c r="B10" s="72" t="s">
        <v>94</v>
      </c>
      <c r="C10" s="31">
        <f>F10*E10</f>
        <v>0</v>
      </c>
      <c r="D10" s="61">
        <f>+C10/BASE_EXPORTACION!TC_2023</f>
        <v>0</v>
      </c>
      <c r="E10" s="33">
        <f>'46k'!quintales_2023</f>
        <v>233</v>
      </c>
      <c r="F10" s="274">
        <v>0</v>
      </c>
      <c r="G10" s="63">
        <f>+F10/BASE_EXPORTACION!TC_2023</f>
        <v>0</v>
      </c>
      <c r="H10" s="64">
        <f t="shared" si="0"/>
        <v>0</v>
      </c>
      <c r="I10" t="s">
        <v>95</v>
      </c>
    </row>
    <row r="11" spans="2:13" x14ac:dyDescent="0.2">
      <c r="B11" s="38" t="s">
        <v>96</v>
      </c>
      <c r="C11" s="39">
        <f>SUM(C4:C10)</f>
        <v>0</v>
      </c>
      <c r="D11" s="67">
        <f>SUM(D4:D10)</f>
        <v>0</v>
      </c>
      <c r="E11" s="41">
        <f>'46k'!quintales_2023</f>
        <v>233</v>
      </c>
      <c r="F11" s="45">
        <f>C11</f>
        <v>0</v>
      </c>
      <c r="G11" s="68">
        <f>+F11/BASE_EXPORTACION!TC_2023</f>
        <v>0</v>
      </c>
      <c r="H11" s="69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7"/>
  <sheetViews>
    <sheetView showGridLines="0" zoomScale="130" zoomScaleNormal="130" workbookViewId="0">
      <selection activeCell="F5" sqref="F5"/>
    </sheetView>
  </sheetViews>
  <sheetFormatPr baseColWidth="10" defaultColWidth="8.83203125" defaultRowHeight="15" x14ac:dyDescent="0.2"/>
  <cols>
    <col min="2" max="2" width="17" customWidth="1"/>
    <col min="3" max="3" width="13.5" customWidth="1"/>
    <col min="4" max="4" width="12.5" customWidth="1"/>
    <col min="5" max="6" width="9.33203125" customWidth="1"/>
    <col min="7" max="7" width="7.83203125" customWidth="1"/>
    <col min="8" max="8" width="7.6640625" customWidth="1"/>
  </cols>
  <sheetData>
    <row r="2" spans="2:8" x14ac:dyDescent="0.2">
      <c r="B2" s="10" t="s">
        <v>53</v>
      </c>
      <c r="C2" s="11"/>
      <c r="D2" s="12"/>
      <c r="E2" s="58"/>
      <c r="F2" s="11"/>
      <c r="G2" s="11"/>
      <c r="H2" s="26"/>
    </row>
    <row r="3" spans="2:8" x14ac:dyDescent="0.2">
      <c r="B3" s="27" t="s">
        <v>97</v>
      </c>
      <c r="C3" s="27" t="s">
        <v>83</v>
      </c>
      <c r="D3" s="29" t="s">
        <v>84</v>
      </c>
      <c r="E3" s="28" t="s">
        <v>33</v>
      </c>
      <c r="F3" s="27" t="s">
        <v>6</v>
      </c>
      <c r="G3" s="27" t="s">
        <v>9</v>
      </c>
      <c r="H3" s="59" t="s">
        <v>86</v>
      </c>
    </row>
    <row r="4" spans="2:8" x14ac:dyDescent="0.2">
      <c r="B4" s="30" t="s">
        <v>98</v>
      </c>
      <c r="C4" s="60">
        <f>+E4*F4</f>
        <v>39610</v>
      </c>
      <c r="D4" s="61">
        <f>+C4/BASE_EXPORTACION!TC_2023</f>
        <v>5110.9677419354839</v>
      </c>
      <c r="E4" s="33">
        <f>'46k'!quintales_2023</f>
        <v>233</v>
      </c>
      <c r="F4" s="266">
        <v>170</v>
      </c>
      <c r="G4" s="63">
        <f>+F4/BASE_EXPORTACION!TC_2023</f>
        <v>21.93548387096774</v>
      </c>
      <c r="H4" s="64">
        <f>+G4/46</f>
        <v>0.47685834502103785</v>
      </c>
    </row>
    <row r="5" spans="2:8" x14ac:dyDescent="0.2">
      <c r="B5" s="30"/>
      <c r="C5" s="60"/>
      <c r="D5" s="61"/>
      <c r="E5" s="33"/>
      <c r="F5" s="65"/>
      <c r="G5" s="63"/>
      <c r="H5" s="64"/>
    </row>
    <row r="6" spans="2:8" x14ac:dyDescent="0.2">
      <c r="B6" s="38" t="s">
        <v>99</v>
      </c>
      <c r="C6" s="66">
        <f>SUM(C4:C5)</f>
        <v>39610</v>
      </c>
      <c r="D6" s="67">
        <f>SUM(D4:D5)</f>
        <v>5110.9677419354839</v>
      </c>
      <c r="E6" s="41">
        <f>BASE_EXPORTACION!quintales_2023</f>
        <v>500</v>
      </c>
      <c r="F6" s="45">
        <f>+C6/E6</f>
        <v>79.22</v>
      </c>
      <c r="G6" s="68">
        <f>+F6/BASE_EXPORTACION!TC_2023</f>
        <v>10.221935483870968</v>
      </c>
      <c r="H6" s="69">
        <f>+G6/46</f>
        <v>0.22221598877980367</v>
      </c>
    </row>
    <row r="7" spans="2:8" x14ac:dyDescent="0.2">
      <c r="B7" s="11"/>
      <c r="C7" s="11"/>
      <c r="D7" s="12"/>
      <c r="E7" s="70"/>
      <c r="F7" s="11"/>
      <c r="G7" s="11"/>
      <c r="H7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35"/>
  <sheetViews>
    <sheetView showGridLines="0" topLeftCell="A4" zoomScale="180" zoomScaleNormal="180" workbookViewId="0">
      <selection activeCell="D17" sqref="D17"/>
    </sheetView>
  </sheetViews>
  <sheetFormatPr baseColWidth="10" defaultColWidth="8.83203125" defaultRowHeight="15" x14ac:dyDescent="0.2"/>
  <cols>
    <col min="2" max="2" width="28.5" customWidth="1"/>
    <col min="3" max="3" width="13.5" customWidth="1"/>
    <col min="4" max="4" width="11.5" customWidth="1"/>
    <col min="5" max="5" width="10.33203125" customWidth="1"/>
    <col min="6" max="6" width="8.6640625" customWidth="1"/>
    <col min="7" max="7" width="8.5" customWidth="1"/>
  </cols>
  <sheetData>
    <row r="2" spans="2:7" x14ac:dyDescent="0.2">
      <c r="B2" s="10" t="s">
        <v>55</v>
      </c>
      <c r="C2" s="26"/>
      <c r="D2" s="26"/>
      <c r="E2" s="26"/>
      <c r="F2" s="26"/>
      <c r="G2" s="54"/>
    </row>
    <row r="3" spans="2:7" x14ac:dyDescent="0.2">
      <c r="B3" s="11" t="s">
        <v>100</v>
      </c>
      <c r="C3" s="11"/>
      <c r="D3" s="11"/>
      <c r="E3" s="11"/>
      <c r="F3" s="11"/>
      <c r="G3" s="12"/>
    </row>
    <row r="4" spans="2:7" x14ac:dyDescent="0.2">
      <c r="B4" s="11" t="s">
        <v>101</v>
      </c>
      <c r="C4" s="11"/>
      <c r="D4" s="11"/>
      <c r="E4" s="11"/>
      <c r="F4" s="11"/>
      <c r="G4" s="12"/>
    </row>
    <row r="5" spans="2:7" x14ac:dyDescent="0.2">
      <c r="B5" s="27" t="s">
        <v>102</v>
      </c>
      <c r="C5" s="27" t="s">
        <v>83</v>
      </c>
      <c r="D5" s="27" t="s">
        <v>84</v>
      </c>
      <c r="E5" s="28" t="s">
        <v>28</v>
      </c>
      <c r="F5" s="55" t="s">
        <v>103</v>
      </c>
      <c r="G5" s="29" t="s">
        <v>9</v>
      </c>
    </row>
    <row r="6" spans="2:7" x14ac:dyDescent="0.2">
      <c r="B6" s="30" t="s">
        <v>104</v>
      </c>
      <c r="C6" s="31">
        <f>+D6*BASE_EXPORTACION!TC_2023</f>
        <v>271.25</v>
      </c>
      <c r="D6" s="37">
        <v>35</v>
      </c>
      <c r="E6" s="33">
        <f>IF(BASE_EXPORTACION!N3=0,23000,BASE_EXPORTACION!N3)</f>
        <v>10000</v>
      </c>
      <c r="F6" s="44">
        <f t="shared" ref="F6:F19" si="0">+C6/E6</f>
        <v>2.7125E-2</v>
      </c>
      <c r="G6" s="35">
        <f>+F6/BASE_EXPORTACION!TC_2023</f>
        <v>3.5000000000000001E-3</v>
      </c>
    </row>
    <row r="7" spans="2:7" x14ac:dyDescent="0.2">
      <c r="B7" s="30" t="s">
        <v>105</v>
      </c>
      <c r="C7" s="31">
        <f>+D7*BASE_EXPORTACION!TC_2023</f>
        <v>155</v>
      </c>
      <c r="D7" s="37">
        <v>20</v>
      </c>
      <c r="E7" s="33">
        <f t="shared" ref="E7:E13" si="1">+E6</f>
        <v>10000</v>
      </c>
      <c r="F7" s="44">
        <f t="shared" si="0"/>
        <v>1.55E-2</v>
      </c>
      <c r="G7" s="35">
        <f>+F7/BASE_EXPORTACION!TC_2023</f>
        <v>2E-3</v>
      </c>
    </row>
    <row r="8" spans="2:7" x14ac:dyDescent="0.2">
      <c r="B8" s="30" t="s">
        <v>106</v>
      </c>
      <c r="C8" s="31">
        <f>+D8*BASE_EXPORTACION!TC_2023</f>
        <v>123.30249999999999</v>
      </c>
      <c r="D8" s="37">
        <v>15.91</v>
      </c>
      <c r="E8" s="33">
        <f t="shared" si="1"/>
        <v>10000</v>
      </c>
      <c r="F8" s="44">
        <f t="shared" si="0"/>
        <v>1.2330249999999999E-2</v>
      </c>
      <c r="G8" s="35">
        <f>+F8/BASE_EXPORTACION!TC_2023</f>
        <v>1.591E-3</v>
      </c>
    </row>
    <row r="9" spans="2:7" x14ac:dyDescent="0.2">
      <c r="B9" s="30" t="s">
        <v>107</v>
      </c>
      <c r="C9" s="31">
        <f>+D9*BASE_EXPORTACION!TC_2023</f>
        <v>49.677500000000002</v>
      </c>
      <c r="D9" s="37">
        <v>6.41</v>
      </c>
      <c r="E9" s="33">
        <f t="shared" si="1"/>
        <v>10000</v>
      </c>
      <c r="F9" s="44">
        <f t="shared" si="0"/>
        <v>4.9677499999999999E-3</v>
      </c>
      <c r="G9" s="35">
        <f>+F9/BASE_EXPORTACION!TC_2023</f>
        <v>6.4099999999999997E-4</v>
      </c>
    </row>
    <row r="10" spans="2:7" x14ac:dyDescent="0.2">
      <c r="B10" s="30" t="s">
        <v>108</v>
      </c>
      <c r="C10" s="31">
        <f>+D10*BASE_EXPORTACION!TC_2023</f>
        <v>1309.2850000000001</v>
      </c>
      <c r="D10" s="37">
        <v>168.94</v>
      </c>
      <c r="E10" s="33">
        <f t="shared" si="1"/>
        <v>10000</v>
      </c>
      <c r="F10" s="44">
        <f t="shared" si="0"/>
        <v>0.1309285</v>
      </c>
      <c r="G10" s="35">
        <f>+F10/BASE_EXPORTACION!TC_2023</f>
        <v>1.6893999999999999E-2</v>
      </c>
    </row>
    <row r="11" spans="2:7" x14ac:dyDescent="0.2">
      <c r="B11" s="30" t="s">
        <v>109</v>
      </c>
      <c r="C11" s="31">
        <f>+D11*BASE_EXPORTACION!TC_2023</f>
        <v>1743.75</v>
      </c>
      <c r="D11" s="37">
        <v>225</v>
      </c>
      <c r="E11" s="33">
        <f t="shared" si="1"/>
        <v>10000</v>
      </c>
      <c r="F11" s="44">
        <f t="shared" si="0"/>
        <v>0.174375</v>
      </c>
      <c r="G11" s="35">
        <f>+F11/BASE_EXPORTACION!TC_2023</f>
        <v>2.2499999999999999E-2</v>
      </c>
    </row>
    <row r="12" spans="2:7" x14ac:dyDescent="0.2">
      <c r="B12" s="30" t="s">
        <v>110</v>
      </c>
      <c r="C12" s="31">
        <f>+D12*BASE_EXPORTACION!TC_2023</f>
        <v>591.86750000000006</v>
      </c>
      <c r="D12" s="37">
        <v>76.37</v>
      </c>
      <c r="E12" s="33">
        <f t="shared" si="1"/>
        <v>10000</v>
      </c>
      <c r="F12" s="44">
        <f t="shared" si="0"/>
        <v>5.9186750000000003E-2</v>
      </c>
      <c r="G12" s="35">
        <f>+F12/BASE_EXPORTACION!TC_2023</f>
        <v>7.6370000000000006E-3</v>
      </c>
    </row>
    <row r="13" spans="2:7" x14ac:dyDescent="0.2">
      <c r="B13" s="30" t="s">
        <v>111</v>
      </c>
      <c r="C13" s="31">
        <f>+D13*BASE_EXPORTACION!TC_2023</f>
        <v>1162.5</v>
      </c>
      <c r="D13" s="37">
        <v>150</v>
      </c>
      <c r="E13" s="33">
        <f t="shared" si="1"/>
        <v>10000</v>
      </c>
      <c r="F13" s="44">
        <f t="shared" si="0"/>
        <v>0.11625000000000001</v>
      </c>
      <c r="G13" s="35">
        <f>+F13/BASE_EXPORTACION!TC_2023</f>
        <v>1.5000000000000001E-2</v>
      </c>
    </row>
    <row r="14" spans="2:7" x14ac:dyDescent="0.2">
      <c r="B14" s="30" t="s">
        <v>170</v>
      </c>
      <c r="C14" s="31">
        <f>+D14*BASE_EXPORTACION!TC_2023</f>
        <v>99.975000000000009</v>
      </c>
      <c r="D14" s="37">
        <v>12.9</v>
      </c>
      <c r="E14" s="33"/>
      <c r="F14" s="44"/>
      <c r="G14" s="35"/>
    </row>
    <row r="15" spans="2:7" x14ac:dyDescent="0.2">
      <c r="B15" s="30" t="s">
        <v>112</v>
      </c>
      <c r="C15" s="31">
        <f>+D15*BASE_EXPORTACION!TC_2023</f>
        <v>3875</v>
      </c>
      <c r="D15" s="37">
        <v>500</v>
      </c>
      <c r="E15" s="33">
        <f>+E13</f>
        <v>10000</v>
      </c>
      <c r="F15" s="44">
        <f t="shared" si="0"/>
        <v>0.38750000000000001</v>
      </c>
      <c r="G15" s="35">
        <f>+F15/BASE_EXPORTACION!TC_2023</f>
        <v>0.05</v>
      </c>
    </row>
    <row r="16" spans="2:7" x14ac:dyDescent="0.2">
      <c r="B16" s="30" t="s">
        <v>172</v>
      </c>
      <c r="C16" s="31">
        <f>+D16*BASE_EXPORTACION!TC_2023</f>
        <v>643.25</v>
      </c>
      <c r="D16" s="37">
        <v>83</v>
      </c>
      <c r="E16" s="33"/>
      <c r="F16" s="44"/>
      <c r="G16" s="35"/>
    </row>
    <row r="17" spans="2:8" x14ac:dyDescent="0.2">
      <c r="B17" s="30" t="s">
        <v>171</v>
      </c>
      <c r="C17" s="31">
        <f>+D17*BASE_EXPORTACION!TC_2023</f>
        <v>10075</v>
      </c>
      <c r="D17" s="37">
        <v>1300</v>
      </c>
      <c r="E17" s="33"/>
      <c r="F17" s="44"/>
      <c r="G17" s="35"/>
    </row>
    <row r="18" spans="2:8" x14ac:dyDescent="0.2">
      <c r="B18" s="30" t="s">
        <v>113</v>
      </c>
      <c r="C18" s="31">
        <f>+D18*BASE_EXPORTACION!TC_2023</f>
        <v>27512.5</v>
      </c>
      <c r="D18" s="37">
        <v>3550</v>
      </c>
      <c r="E18" s="33">
        <f>+E32</f>
        <v>10000</v>
      </c>
      <c r="F18" s="44">
        <f t="shared" si="0"/>
        <v>2.7512500000000002</v>
      </c>
      <c r="G18" s="35">
        <f>+F18/BASE_EXPORTACION!TC_2023</f>
        <v>0.35500000000000004</v>
      </c>
    </row>
    <row r="19" spans="2:8" x14ac:dyDescent="0.2">
      <c r="B19" s="38" t="s">
        <v>114</v>
      </c>
      <c r="C19" s="39">
        <f>SUM(C6:C18)</f>
        <v>47612.357499999998</v>
      </c>
      <c r="D19" s="40">
        <f>SUM(D6:D18)</f>
        <v>6143.53</v>
      </c>
      <c r="E19" s="41">
        <f>+E15</f>
        <v>10000</v>
      </c>
      <c r="F19" s="45">
        <f t="shared" si="0"/>
        <v>4.76123575</v>
      </c>
      <c r="G19" s="43">
        <f>+F19/BASE_EXPORTACION!TC_2023</f>
        <v>0.61435300000000004</v>
      </c>
    </row>
    <row r="20" spans="2:8" x14ac:dyDescent="0.2">
      <c r="B20" s="11"/>
      <c r="C20" s="11"/>
      <c r="D20" s="11"/>
      <c r="E20" s="11"/>
      <c r="F20" s="56"/>
      <c r="G20" s="12"/>
    </row>
    <row r="21" spans="2:8" x14ac:dyDescent="0.2">
      <c r="B21" s="11" t="s">
        <v>115</v>
      </c>
      <c r="C21" s="11"/>
      <c r="D21" s="11"/>
      <c r="E21" s="11"/>
      <c r="F21" s="56"/>
      <c r="G21" s="12"/>
    </row>
    <row r="22" spans="2:8" x14ac:dyDescent="0.2">
      <c r="B22" s="27" t="s">
        <v>102</v>
      </c>
      <c r="C22" s="27" t="s">
        <v>83</v>
      </c>
      <c r="D22" s="27" t="s">
        <v>84</v>
      </c>
      <c r="E22" s="28" t="s">
        <v>28</v>
      </c>
      <c r="F22" s="55" t="s">
        <v>103</v>
      </c>
      <c r="G22" s="29" t="s">
        <v>9</v>
      </c>
    </row>
    <row r="23" spans="2:8" x14ac:dyDescent="0.2">
      <c r="B23" s="30" t="s">
        <v>116</v>
      </c>
      <c r="C23" s="31">
        <f>+E23*F23</f>
        <v>5559.0749999999998</v>
      </c>
      <c r="D23" s="37">
        <v>717.3</v>
      </c>
      <c r="E23" s="33">
        <f>+E6</f>
        <v>10000</v>
      </c>
      <c r="F23" s="44">
        <f>+G23*BASE_EXPORTACION!TC_2023</f>
        <v>0.5559075</v>
      </c>
      <c r="G23" s="35">
        <f>+D23/10000</f>
        <v>7.1730000000000002E-2</v>
      </c>
      <c r="H23" s="5">
        <f>+C23/250</f>
        <v>22.2363</v>
      </c>
    </row>
    <row r="24" spans="2:8" x14ac:dyDescent="0.2">
      <c r="B24" s="30" t="s">
        <v>117</v>
      </c>
      <c r="C24" s="31">
        <f t="shared" ref="C24:C31" si="2">+E24*F24</f>
        <v>8005.0525000000007</v>
      </c>
      <c r="D24" s="37">
        <v>1032.9100000000001</v>
      </c>
      <c r="E24" s="33">
        <f t="shared" ref="E24:E32" si="3">+E23</f>
        <v>10000</v>
      </c>
      <c r="F24" s="44">
        <f>+G24*BASE_EXPORTACION!TC_2023</f>
        <v>0.80050525000000006</v>
      </c>
      <c r="G24" s="35">
        <f t="shared" ref="G24:G31" si="4">+D24/10000</f>
        <v>0.10329100000000001</v>
      </c>
      <c r="H24" s="5">
        <f>+C24/2000</f>
        <v>4.0025262500000007</v>
      </c>
    </row>
    <row r="25" spans="2:8" x14ac:dyDescent="0.2">
      <c r="B25" s="30" t="s">
        <v>118</v>
      </c>
      <c r="C25" s="31">
        <f t="shared" si="2"/>
        <v>266.4627039627041</v>
      </c>
      <c r="D25" s="37">
        <v>34.382284382284404</v>
      </c>
      <c r="E25" s="33">
        <f t="shared" si="3"/>
        <v>10000</v>
      </c>
      <c r="F25" s="44">
        <f>+G25*BASE_EXPORTACION!TC_2023</f>
        <v>2.6646270396270412E-2</v>
      </c>
      <c r="G25" s="35">
        <f t="shared" si="4"/>
        <v>3.4382284382284403E-3</v>
      </c>
      <c r="H25" t="s">
        <v>119</v>
      </c>
    </row>
    <row r="26" spans="2:8" x14ac:dyDescent="0.2">
      <c r="B26" s="30" t="s">
        <v>120</v>
      </c>
      <c r="C26" s="31">
        <f t="shared" si="2"/>
        <v>23.183760683760674</v>
      </c>
      <c r="D26" s="37">
        <v>2.9914529914529902</v>
      </c>
      <c r="E26" s="33">
        <f t="shared" si="3"/>
        <v>10000</v>
      </c>
      <c r="F26" s="44">
        <f>+G26*BASE_EXPORTACION!TC_2023</f>
        <v>2.3183760683760674E-3</v>
      </c>
      <c r="G26" s="35">
        <f t="shared" si="4"/>
        <v>2.9914529914529904E-4</v>
      </c>
      <c r="H26" t="s">
        <v>119</v>
      </c>
    </row>
    <row r="27" spans="2:8" x14ac:dyDescent="0.2">
      <c r="B27" s="30" t="s">
        <v>121</v>
      </c>
      <c r="C27" s="31">
        <f t="shared" si="2"/>
        <v>439.58818958818944</v>
      </c>
      <c r="D27" s="37">
        <v>56.721056721056698</v>
      </c>
      <c r="E27" s="33">
        <f t="shared" si="3"/>
        <v>10000</v>
      </c>
      <c r="F27" s="44">
        <f>+G27*BASE_EXPORTACION!TC_2023</f>
        <v>4.3958818958818945E-2</v>
      </c>
      <c r="G27" s="35">
        <f t="shared" si="4"/>
        <v>5.6721056721056699E-3</v>
      </c>
      <c r="H27" t="s">
        <v>119</v>
      </c>
    </row>
    <row r="28" spans="2:8" x14ac:dyDescent="0.2">
      <c r="B28" s="30" t="s">
        <v>122</v>
      </c>
      <c r="C28" s="31">
        <f t="shared" si="2"/>
        <v>1262.7075000000002</v>
      </c>
      <c r="D28" s="37">
        <v>162.93</v>
      </c>
      <c r="E28" s="33">
        <f t="shared" si="3"/>
        <v>10000</v>
      </c>
      <c r="F28" s="44">
        <f>+G28*BASE_EXPORTACION!TC_2023</f>
        <v>0.12627075000000001</v>
      </c>
      <c r="G28" s="35">
        <f t="shared" si="4"/>
        <v>1.6293000000000002E-2</v>
      </c>
      <c r="H28" s="5">
        <f>+C28/2000</f>
        <v>0.63135375000000016</v>
      </c>
    </row>
    <row r="29" spans="2:8" x14ac:dyDescent="0.2">
      <c r="B29" s="30" t="s">
        <v>123</v>
      </c>
      <c r="C29" s="31">
        <f t="shared" si="2"/>
        <v>0</v>
      </c>
      <c r="D29" s="37">
        <f>763.54*0</f>
        <v>0</v>
      </c>
      <c r="E29" s="33">
        <f t="shared" si="3"/>
        <v>10000</v>
      </c>
      <c r="F29" s="44">
        <f>+G29*BASE_EXPORTACION!TC_2023</f>
        <v>0</v>
      </c>
      <c r="G29" s="35">
        <f t="shared" si="4"/>
        <v>0</v>
      </c>
      <c r="H29" t="s">
        <v>124</v>
      </c>
    </row>
    <row r="30" spans="2:8" x14ac:dyDescent="0.2">
      <c r="B30" s="30" t="s">
        <v>125</v>
      </c>
      <c r="C30" s="31">
        <f t="shared" si="2"/>
        <v>207.09400349928464</v>
      </c>
      <c r="D30" s="37">
        <v>26.721806903133501</v>
      </c>
      <c r="E30" s="33">
        <f>+E29</f>
        <v>10000</v>
      </c>
      <c r="F30" s="44">
        <f>+G30*BASE_EXPORTACION!TC_2023</f>
        <v>2.0709400349928464E-2</v>
      </c>
      <c r="G30" s="35">
        <f t="shared" si="4"/>
        <v>2.67218069031335E-3</v>
      </c>
      <c r="H30" s="5">
        <f>+C30/2000</f>
        <v>0.10354700174964232</v>
      </c>
    </row>
    <row r="31" spans="2:8" x14ac:dyDescent="0.2">
      <c r="B31" s="30" t="s">
        <v>126</v>
      </c>
      <c r="C31" s="31">
        <f t="shared" si="2"/>
        <v>561.0221970480136</v>
      </c>
      <c r="D31" s="37">
        <v>72.389960909421106</v>
      </c>
      <c r="E31" s="33">
        <f t="shared" si="3"/>
        <v>10000</v>
      </c>
      <c r="F31" s="44">
        <f>+G31*BASE_EXPORTACION!TC_2023</f>
        <v>5.6102219704801358E-2</v>
      </c>
      <c r="G31" s="35">
        <f t="shared" si="4"/>
        <v>7.2389960909421108E-3</v>
      </c>
      <c r="H31" s="5">
        <f>+C31/250</f>
        <v>2.2440887881920544</v>
      </c>
    </row>
    <row r="32" spans="2:8" x14ac:dyDescent="0.2">
      <c r="B32" s="38" t="s">
        <v>114</v>
      </c>
      <c r="C32" s="39">
        <f>SUM(C23:C31)</f>
        <v>16324.185854781956</v>
      </c>
      <c r="D32" s="40">
        <f>SUM(D23:D31)</f>
        <v>2106.3465619073486</v>
      </c>
      <c r="E32" s="41">
        <f t="shared" si="3"/>
        <v>10000</v>
      </c>
      <c r="F32" s="45">
        <f>+C32/E32</f>
        <v>1.6324185854781956</v>
      </c>
      <c r="G32" s="43">
        <f>+F32/BASE_EXPORTACION!TC_2023</f>
        <v>0.21063465619073493</v>
      </c>
    </row>
    <row r="33" spans="2:7" x14ac:dyDescent="0.2">
      <c r="B33" s="11"/>
      <c r="C33" s="11"/>
      <c r="D33" s="11"/>
      <c r="E33" s="11"/>
      <c r="F33" s="56"/>
      <c r="G33" s="12"/>
    </row>
    <row r="34" spans="2:7" x14ac:dyDescent="0.2">
      <c r="B34" s="47" t="s">
        <v>114</v>
      </c>
      <c r="C34" s="48">
        <f>+C19+C32</f>
        <v>63936.543354781956</v>
      </c>
      <c r="D34" s="57">
        <f>+C34/BASE_EXPORTACION!TC_2023</f>
        <v>8249.8765619073492</v>
      </c>
      <c r="E34" s="50">
        <f>+E18</f>
        <v>10000</v>
      </c>
      <c r="F34" s="51">
        <f>+C34/E34</f>
        <v>6.3936543354781952</v>
      </c>
      <c r="G34" s="43">
        <f>+F34/BASE_EXPORTACION!TC_2023</f>
        <v>0.82498765619073489</v>
      </c>
    </row>
    <row r="35" spans="2:7" x14ac:dyDescent="0.2">
      <c r="B35" s="11"/>
      <c r="C35" s="11"/>
      <c r="D35" s="11"/>
      <c r="E35" s="11"/>
      <c r="F35" s="56"/>
      <c r="G35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41"/>
  <sheetViews>
    <sheetView showGridLines="0" topLeftCell="A17" zoomScale="180" zoomScaleNormal="180" workbookViewId="0">
      <selection activeCell="D31" sqref="D31"/>
    </sheetView>
  </sheetViews>
  <sheetFormatPr baseColWidth="10" defaultColWidth="8.83203125" defaultRowHeight="15" x14ac:dyDescent="0.2"/>
  <cols>
    <col min="2" max="2" width="28.5" customWidth="1"/>
    <col min="3" max="3" width="13.5" customWidth="1"/>
    <col min="4" max="4" width="11.5" customWidth="1"/>
    <col min="5" max="5" width="10.33203125" customWidth="1"/>
    <col min="6" max="6" width="8.33203125" customWidth="1"/>
    <col min="7" max="7" width="11.5" customWidth="1"/>
  </cols>
  <sheetData>
    <row r="2" spans="2:10" x14ac:dyDescent="0.2">
      <c r="B2" s="10" t="s">
        <v>58</v>
      </c>
      <c r="C2" s="26"/>
      <c r="D2" s="26"/>
      <c r="E2" s="26"/>
      <c r="F2" s="26"/>
      <c r="G2" s="11"/>
      <c r="H2" s="26"/>
      <c r="I2" s="52"/>
      <c r="J2" s="26"/>
    </row>
    <row r="3" spans="2:10" x14ac:dyDescent="0.2">
      <c r="B3" s="11" t="s">
        <v>127</v>
      </c>
      <c r="C3" s="11"/>
      <c r="D3" s="11"/>
      <c r="E3" s="11"/>
      <c r="F3" s="11"/>
      <c r="G3" s="12"/>
      <c r="H3" s="11"/>
      <c r="I3" s="53"/>
      <c r="J3" s="11"/>
    </row>
    <row r="4" spans="2:10" x14ac:dyDescent="0.2">
      <c r="B4" s="11" t="s">
        <v>101</v>
      </c>
      <c r="C4" s="11"/>
      <c r="D4" s="11"/>
      <c r="E4" s="11"/>
      <c r="F4" s="11"/>
      <c r="G4" s="12"/>
      <c r="H4" s="11"/>
      <c r="I4" s="53"/>
      <c r="J4" s="11"/>
    </row>
    <row r="5" spans="2:10" x14ac:dyDescent="0.2">
      <c r="B5" s="27" t="s">
        <v>102</v>
      </c>
      <c r="C5" s="27" t="s">
        <v>83</v>
      </c>
      <c r="D5" s="27" t="s">
        <v>84</v>
      </c>
      <c r="E5" s="28" t="s">
        <v>28</v>
      </c>
      <c r="F5" s="27" t="s">
        <v>103</v>
      </c>
      <c r="G5" s="29" t="s">
        <v>9</v>
      </c>
      <c r="H5" s="11"/>
      <c r="I5" s="53"/>
      <c r="J5" s="11"/>
    </row>
    <row r="6" spans="2:10" x14ac:dyDescent="0.2">
      <c r="B6" s="30" t="s">
        <v>104</v>
      </c>
      <c r="C6" s="31">
        <f>+D6*BASE_EXPORTACION!TC_2023</f>
        <v>271.25</v>
      </c>
      <c r="D6" s="32">
        <v>35</v>
      </c>
      <c r="E6" s="33">
        <f>+BASE_EXPORTACION!N4</f>
        <v>0</v>
      </c>
      <c r="F6" s="34">
        <f>IFERROR(C6/E6,0)</f>
        <v>0</v>
      </c>
      <c r="G6" s="35">
        <f>+F6/BASE_EXPORTACION!TC_2023</f>
        <v>0</v>
      </c>
      <c r="H6" s="11"/>
      <c r="I6" s="53"/>
      <c r="J6" s="11"/>
    </row>
    <row r="7" spans="2:10" x14ac:dyDescent="0.2">
      <c r="B7" s="30" t="s">
        <v>105</v>
      </c>
      <c r="C7" s="31">
        <f>+D7*BASE_EXPORTACION!TC_2023</f>
        <v>155</v>
      </c>
      <c r="D7" s="32">
        <v>20</v>
      </c>
      <c r="E7" s="33">
        <f t="shared" ref="E7:E14" si="0">+E6</f>
        <v>0</v>
      </c>
      <c r="F7" s="34">
        <f t="shared" ref="F7:F16" si="1">IFERROR(C7/E7,0)</f>
        <v>0</v>
      </c>
      <c r="G7" s="35">
        <f>+F7/BASE_EXPORTACION!TC_2023</f>
        <v>0</v>
      </c>
      <c r="H7" s="11"/>
      <c r="I7" s="53"/>
      <c r="J7" s="11"/>
    </row>
    <row r="8" spans="2:10" x14ac:dyDescent="0.2">
      <c r="B8" s="30" t="s">
        <v>106</v>
      </c>
      <c r="C8" s="31">
        <f>+D8*BASE_EXPORTACION!TC_2023</f>
        <v>123.30249999999999</v>
      </c>
      <c r="D8" s="32">
        <v>15.91</v>
      </c>
      <c r="E8" s="33">
        <f t="shared" si="0"/>
        <v>0</v>
      </c>
      <c r="F8" s="34">
        <f t="shared" si="1"/>
        <v>0</v>
      </c>
      <c r="G8" s="35">
        <f>+F8/BASE_EXPORTACION!TC_2023</f>
        <v>0</v>
      </c>
      <c r="H8" s="11"/>
      <c r="I8" s="53"/>
      <c r="J8" s="11"/>
    </row>
    <row r="9" spans="2:10" x14ac:dyDescent="0.2">
      <c r="B9" s="30" t="s">
        <v>107</v>
      </c>
      <c r="C9" s="31">
        <f>+D9*BASE_EXPORTACION!TC_2023</f>
        <v>49.677500000000002</v>
      </c>
      <c r="D9" s="32">
        <v>6.41</v>
      </c>
      <c r="E9" s="33">
        <f t="shared" si="0"/>
        <v>0</v>
      </c>
      <c r="F9" s="34">
        <f t="shared" si="1"/>
        <v>0</v>
      </c>
      <c r="G9" s="35">
        <f>+F9/BASE_EXPORTACION!TC_2023</f>
        <v>0</v>
      </c>
      <c r="H9" s="11"/>
      <c r="I9" s="53"/>
      <c r="J9" s="11"/>
    </row>
    <row r="10" spans="2:10" x14ac:dyDescent="0.2">
      <c r="B10" s="30" t="s">
        <v>108</v>
      </c>
      <c r="C10" s="31">
        <f>+D10*BASE_EXPORTACION!TC_2023</f>
        <v>1309.2850000000001</v>
      </c>
      <c r="D10" s="32">
        <v>168.94</v>
      </c>
      <c r="E10" s="33">
        <f t="shared" si="0"/>
        <v>0</v>
      </c>
      <c r="F10" s="34">
        <f t="shared" si="1"/>
        <v>0</v>
      </c>
      <c r="G10" s="35">
        <f>+F10/BASE_EXPORTACION!TC_2023</f>
        <v>0</v>
      </c>
      <c r="H10" s="11"/>
      <c r="I10" s="53"/>
      <c r="J10" s="11"/>
    </row>
    <row r="11" spans="2:10" x14ac:dyDescent="0.2">
      <c r="B11" s="30" t="s">
        <v>109</v>
      </c>
      <c r="C11" s="31">
        <f>+D11*BASE_EXPORTACION!TC_2023</f>
        <v>1743.75</v>
      </c>
      <c r="D11" s="32">
        <v>225</v>
      </c>
      <c r="E11" s="33">
        <f t="shared" si="0"/>
        <v>0</v>
      </c>
      <c r="F11" s="34">
        <f t="shared" si="1"/>
        <v>0</v>
      </c>
      <c r="G11" s="35">
        <f>+F11/BASE_EXPORTACION!TC_2023</f>
        <v>0</v>
      </c>
      <c r="H11" s="11"/>
      <c r="I11" s="53"/>
      <c r="J11" s="11"/>
    </row>
    <row r="12" spans="2:10" x14ac:dyDescent="0.2">
      <c r="B12" s="30" t="s">
        <v>110</v>
      </c>
      <c r="C12" s="31">
        <f>+D12*BASE_EXPORTACION!TC_2023</f>
        <v>591.86750000000006</v>
      </c>
      <c r="D12" s="32">
        <v>76.37</v>
      </c>
      <c r="E12" s="33">
        <f t="shared" si="0"/>
        <v>0</v>
      </c>
      <c r="F12" s="34">
        <f t="shared" si="1"/>
        <v>0</v>
      </c>
      <c r="G12" s="35">
        <f>+F12/BASE_EXPORTACION!TC_2023</f>
        <v>0</v>
      </c>
      <c r="H12" s="11"/>
      <c r="I12" s="53"/>
      <c r="J12" s="11"/>
    </row>
    <row r="13" spans="2:10" x14ac:dyDescent="0.2">
      <c r="B13" s="30" t="s">
        <v>111</v>
      </c>
      <c r="C13" s="31">
        <f>+D13*BASE_EXPORTACION!TC_2023</f>
        <v>1162.5</v>
      </c>
      <c r="D13" s="32">
        <v>150</v>
      </c>
      <c r="E13" s="33">
        <f t="shared" si="0"/>
        <v>0</v>
      </c>
      <c r="F13" s="34">
        <f t="shared" si="1"/>
        <v>0</v>
      </c>
      <c r="G13" s="35">
        <f>+F13/BASE_EXPORTACION!TC_2023</f>
        <v>0</v>
      </c>
      <c r="H13" s="11"/>
      <c r="I13" s="53"/>
      <c r="J13" s="11"/>
    </row>
    <row r="14" spans="2:10" x14ac:dyDescent="0.2">
      <c r="B14" s="30" t="s">
        <v>112</v>
      </c>
      <c r="C14" s="31">
        <f>+D14*BASE_EXPORTACION!TC_2023</f>
        <v>3875</v>
      </c>
      <c r="D14" s="36">
        <v>500</v>
      </c>
      <c r="E14" s="33">
        <f t="shared" si="0"/>
        <v>0</v>
      </c>
      <c r="F14" s="34">
        <f t="shared" si="1"/>
        <v>0</v>
      </c>
      <c r="G14" s="35">
        <f>+F14/BASE_EXPORTACION!TC_2023</f>
        <v>0</v>
      </c>
      <c r="H14" s="11"/>
      <c r="I14" s="53"/>
      <c r="J14" s="11"/>
    </row>
    <row r="15" spans="2:10" x14ac:dyDescent="0.2">
      <c r="B15" s="30" t="s">
        <v>113</v>
      </c>
      <c r="C15" s="31">
        <f>+D15*BASE_EXPORTACION!TC_2023</f>
        <v>38258.043478260835</v>
      </c>
      <c r="D15" s="37">
        <f>5677/23000*20000</f>
        <v>4936.5217391304304</v>
      </c>
      <c r="E15" s="33">
        <f>+E21</f>
        <v>0</v>
      </c>
      <c r="F15" s="34">
        <f t="shared" si="1"/>
        <v>0</v>
      </c>
      <c r="G15" s="35">
        <f>+F15/BASE_EXPORTACION!TC_2023</f>
        <v>0</v>
      </c>
      <c r="H15" s="11"/>
      <c r="I15" s="53"/>
      <c r="J15" s="11"/>
    </row>
    <row r="16" spans="2:10" x14ac:dyDescent="0.2">
      <c r="B16" s="38" t="s">
        <v>114</v>
      </c>
      <c r="C16" s="39">
        <f>SUM(C2:C15)</f>
        <v>47539.675978260835</v>
      </c>
      <c r="D16" s="40">
        <f>SUM(D2:D15)</f>
        <v>6134.1517391304305</v>
      </c>
      <c r="E16" s="41">
        <f>+E14</f>
        <v>0</v>
      </c>
      <c r="F16" s="42">
        <f t="shared" si="1"/>
        <v>0</v>
      </c>
      <c r="G16" s="43">
        <f>+F16/BASE_EXPORTACION!TC_2023</f>
        <v>0</v>
      </c>
      <c r="H16" s="11"/>
      <c r="I16" s="53"/>
      <c r="J16" s="11"/>
    </row>
    <row r="17" spans="2:10" x14ac:dyDescent="0.2">
      <c r="B17" s="11"/>
      <c r="C17" s="11"/>
      <c r="D17" s="11"/>
      <c r="E17" s="11"/>
      <c r="F17" s="11"/>
      <c r="G17" s="12"/>
      <c r="H17" s="11"/>
      <c r="I17" s="53"/>
      <c r="J17" s="11"/>
    </row>
    <row r="18" spans="2:10" x14ac:dyDescent="0.2">
      <c r="B18" s="11" t="s">
        <v>115</v>
      </c>
      <c r="C18" s="11"/>
      <c r="D18" s="11"/>
      <c r="E18" s="11"/>
      <c r="F18" s="11"/>
      <c r="G18" s="12"/>
      <c r="H18" s="11"/>
      <c r="I18" s="53"/>
      <c r="J18" s="11"/>
    </row>
    <row r="19" spans="2:10" x14ac:dyDescent="0.2">
      <c r="B19" s="27" t="s">
        <v>102</v>
      </c>
      <c r="C19" s="27" t="s">
        <v>83</v>
      </c>
      <c r="D19" s="27" t="s">
        <v>84</v>
      </c>
      <c r="E19" s="28" t="s">
        <v>28</v>
      </c>
      <c r="F19" s="27" t="s">
        <v>103</v>
      </c>
      <c r="G19" s="29" t="s">
        <v>9</v>
      </c>
      <c r="H19" s="11"/>
      <c r="I19" s="53"/>
      <c r="J19" s="11"/>
    </row>
    <row r="20" spans="2:10" x14ac:dyDescent="0.2">
      <c r="B20" s="30" t="s">
        <v>128</v>
      </c>
      <c r="C20" s="31">
        <f>+E20*F20</f>
        <v>0</v>
      </c>
      <c r="D20" s="32">
        <f>717.3*2</f>
        <v>1434.6</v>
      </c>
      <c r="E20" s="33">
        <f>+E6</f>
        <v>0</v>
      </c>
      <c r="F20" s="44">
        <f>G20*BASE_EXPORTACION!TC_2023</f>
        <v>0.48339782608695681</v>
      </c>
      <c r="G20" s="35">
        <f>+D20/23000</f>
        <v>6.23739130434783E-2</v>
      </c>
      <c r="H20" s="5">
        <f>+C20/250</f>
        <v>0</v>
      </c>
      <c r="I20" s="53"/>
      <c r="J20" s="11"/>
    </row>
    <row r="21" spans="2:10" x14ac:dyDescent="0.2">
      <c r="B21" s="30" t="s">
        <v>129</v>
      </c>
      <c r="C21" s="31">
        <f t="shared" ref="C21:C28" si="2">+E21*F21</f>
        <v>0</v>
      </c>
      <c r="D21" s="32">
        <f>1032.91*2</f>
        <v>2065.8200000000002</v>
      </c>
      <c r="E21" s="33">
        <f t="shared" ref="E21:E29" si="3">+E20</f>
        <v>0</v>
      </c>
      <c r="F21" s="44">
        <f>G21*BASE_EXPORTACION!TC_2023</f>
        <v>0.69609152173913025</v>
      </c>
      <c r="G21" s="35">
        <f t="shared" ref="G21:G28" si="4">+D21/23000</f>
        <v>8.9818260869565195E-2</v>
      </c>
      <c r="H21" s="5">
        <f>+C21/2000</f>
        <v>0</v>
      </c>
      <c r="I21" s="53"/>
      <c r="J21" s="11"/>
    </row>
    <row r="22" spans="2:10" x14ac:dyDescent="0.2">
      <c r="B22" s="30" t="s">
        <v>118</v>
      </c>
      <c r="C22" s="31">
        <f t="shared" si="2"/>
        <v>0</v>
      </c>
      <c r="D22" s="32">
        <f>79.0792540792541/23000*20000</f>
        <v>68.764568764568807</v>
      </c>
      <c r="E22" s="33">
        <f t="shared" si="3"/>
        <v>0</v>
      </c>
      <c r="F22" s="44">
        <f>G22*BASE_EXPORTACION!TC_2023</f>
        <v>2.3170669909800368E-2</v>
      </c>
      <c r="G22" s="35">
        <f t="shared" si="4"/>
        <v>2.98976385932908E-3</v>
      </c>
      <c r="H22" t="s">
        <v>119</v>
      </c>
      <c r="I22" s="53"/>
      <c r="J22" s="11"/>
    </row>
    <row r="23" spans="2:10" x14ac:dyDescent="0.2">
      <c r="B23" s="30" t="s">
        <v>120</v>
      </c>
      <c r="C23" s="31">
        <f t="shared" si="2"/>
        <v>0</v>
      </c>
      <c r="D23" s="32">
        <f>6.88034188034188/23000*20000</f>
        <v>5.9829059829059803</v>
      </c>
      <c r="E23" s="33">
        <f t="shared" si="3"/>
        <v>0</v>
      </c>
      <c r="F23" s="44">
        <f>G23*BASE_EXPORTACION!TC_2023</f>
        <v>2.015979189892235E-3</v>
      </c>
      <c r="G23" s="35">
        <f t="shared" si="4"/>
        <v>2.6012634708286902E-4</v>
      </c>
      <c r="H23" t="s">
        <v>119</v>
      </c>
      <c r="I23" s="53"/>
      <c r="J23" s="11"/>
    </row>
    <row r="24" spans="2:10" x14ac:dyDescent="0.2">
      <c r="B24" s="30" t="s">
        <v>121</v>
      </c>
      <c r="C24" s="31">
        <f t="shared" si="2"/>
        <v>0</v>
      </c>
      <c r="D24" s="32">
        <f>130.45843045843/23000*20000</f>
        <v>113.442113442113</v>
      </c>
      <c r="E24" s="33">
        <f t="shared" si="3"/>
        <v>0</v>
      </c>
      <c r="F24" s="44">
        <f>G24*BASE_EXPORTACION!TC_2023</f>
        <v>3.8225059964190247E-2</v>
      </c>
      <c r="G24" s="35">
        <f t="shared" si="4"/>
        <v>4.9322658018309999E-3</v>
      </c>
      <c r="H24" t="s">
        <v>119</v>
      </c>
      <c r="I24" s="53"/>
      <c r="J24" s="11"/>
    </row>
    <row r="25" spans="2:10" x14ac:dyDescent="0.2">
      <c r="B25" s="30" t="s">
        <v>130</v>
      </c>
      <c r="C25" s="31">
        <f t="shared" si="2"/>
        <v>0</v>
      </c>
      <c r="D25" s="32">
        <f>(162.93/2000*4600)/23000*20000</f>
        <v>325.86</v>
      </c>
      <c r="E25" s="33">
        <f t="shared" si="3"/>
        <v>0</v>
      </c>
      <c r="F25" s="44">
        <f>G25*BASE_EXPORTACION!TC_2023</f>
        <v>0.10980065217391288</v>
      </c>
      <c r="G25" s="35">
        <f t="shared" si="4"/>
        <v>1.4167826086956501E-2</v>
      </c>
      <c r="H25" s="5">
        <f>+C25/2000</f>
        <v>0</v>
      </c>
      <c r="I25" s="53"/>
      <c r="J25" s="11"/>
    </row>
    <row r="26" spans="2:10" x14ac:dyDescent="0.2">
      <c r="B26" s="30" t="s">
        <v>123</v>
      </c>
      <c r="C26" s="31">
        <f t="shared" si="2"/>
        <v>0</v>
      </c>
      <c r="D26" s="36">
        <f>763.537479909915/10000*20000*0</f>
        <v>0</v>
      </c>
      <c r="E26" s="33">
        <f t="shared" si="3"/>
        <v>0</v>
      </c>
      <c r="F26" s="44">
        <f>G26*BASE_EXPORTACION!TC_2023</f>
        <v>0</v>
      </c>
      <c r="G26" s="35">
        <f t="shared" si="4"/>
        <v>0</v>
      </c>
      <c r="H26" t="s">
        <v>124</v>
      </c>
      <c r="I26" s="53"/>
      <c r="J26" s="11"/>
    </row>
    <row r="27" spans="2:10" x14ac:dyDescent="0.2">
      <c r="B27" s="30" t="s">
        <v>125</v>
      </c>
      <c r="C27" s="31">
        <f t="shared" si="2"/>
        <v>0</v>
      </c>
      <c r="D27" s="32">
        <f>26.7218069031335/10000*20000</f>
        <v>53.443613806267003</v>
      </c>
      <c r="E27" s="33">
        <f t="shared" si="3"/>
        <v>0</v>
      </c>
      <c r="F27" s="44">
        <f>G27*BASE_EXPORTACION!TC_2023</f>
        <v>1.8008174217329066E-2</v>
      </c>
      <c r="G27" s="35">
        <f t="shared" si="4"/>
        <v>2.32363538288117E-3</v>
      </c>
      <c r="H27" s="5">
        <f>+C27/2000</f>
        <v>0</v>
      </c>
      <c r="I27" s="53"/>
      <c r="J27" s="11"/>
    </row>
    <row r="28" spans="2:10" x14ac:dyDescent="0.2">
      <c r="B28" s="30" t="s">
        <v>126</v>
      </c>
      <c r="C28" s="31">
        <f t="shared" si="2"/>
        <v>0</v>
      </c>
      <c r="D28" s="32">
        <f>72.3899609094211/10000*20000</f>
        <v>144.77992181884201</v>
      </c>
      <c r="E28" s="33">
        <f t="shared" si="3"/>
        <v>0</v>
      </c>
      <c r="F28" s="44">
        <f>G28*BASE_EXPORTACION!TC_2023</f>
        <v>4.8784538873740318E-2</v>
      </c>
      <c r="G28" s="35">
        <f t="shared" si="4"/>
        <v>6.2947792095148798E-3</v>
      </c>
      <c r="H28" s="5">
        <f>+C28/250</f>
        <v>0</v>
      </c>
      <c r="I28" s="53"/>
      <c r="J28" s="11"/>
    </row>
    <row r="29" spans="2:10" x14ac:dyDescent="0.2">
      <c r="B29" s="38" t="s">
        <v>114</v>
      </c>
      <c r="C29" s="39">
        <f>SUM(C20:C28)</f>
        <v>0</v>
      </c>
      <c r="D29" s="40">
        <f>SUM(D20:D28)</f>
        <v>4212.6931238146999</v>
      </c>
      <c r="E29" s="41">
        <f t="shared" si="3"/>
        <v>0</v>
      </c>
      <c r="F29" s="45" t="e">
        <f>+C29/E29</f>
        <v>#DIV/0!</v>
      </c>
      <c r="G29" s="43">
        <f>IFERROR(F29/BASE_EXPORTACION!TC_2023,0)</f>
        <v>0</v>
      </c>
      <c r="H29" s="11"/>
      <c r="I29" s="53"/>
      <c r="J29" s="11"/>
    </row>
    <row r="30" spans="2:10" x14ac:dyDescent="0.2">
      <c r="B30" s="11"/>
      <c r="C30" s="11"/>
      <c r="D30" s="11"/>
      <c r="E30" s="11"/>
      <c r="F30" s="46"/>
      <c r="G30" s="12"/>
      <c r="H30" s="11"/>
      <c r="I30" s="53"/>
      <c r="J30" s="11"/>
    </row>
    <row r="31" spans="2:10" x14ac:dyDescent="0.2">
      <c r="B31" s="47" t="s">
        <v>114</v>
      </c>
      <c r="C31" s="48">
        <f>+C16+C29</f>
        <v>47539.675978260835</v>
      </c>
      <c r="D31" s="49">
        <f>+C31/BASE_EXPORTACION!TC_2023</f>
        <v>6134.1517391304305</v>
      </c>
      <c r="E31" s="50">
        <f>+E15</f>
        <v>0</v>
      </c>
      <c r="F31" s="51" t="e">
        <f>+C31/E31</f>
        <v>#DIV/0!</v>
      </c>
      <c r="G31" s="43" t="e">
        <f>+F31/BASE_EXPORTACION!TC_2023</f>
        <v>#DIV/0!</v>
      </c>
      <c r="H31" s="11"/>
      <c r="I31" s="53"/>
      <c r="J31" s="11"/>
    </row>
    <row r="32" spans="2:10" x14ac:dyDescent="0.2">
      <c r="B32" s="11"/>
      <c r="C32" s="11"/>
      <c r="D32" s="11"/>
      <c r="E32" s="11"/>
      <c r="F32" s="11"/>
      <c r="G32" s="12"/>
      <c r="H32" s="11"/>
      <c r="I32" s="53"/>
      <c r="J32" s="11"/>
    </row>
    <row r="33" spans="2:10" x14ac:dyDescent="0.2">
      <c r="B33" s="11"/>
      <c r="C33" s="11"/>
      <c r="D33" s="11"/>
      <c r="E33" s="11"/>
      <c r="F33" s="11"/>
      <c r="G33" s="12"/>
      <c r="H33" s="11"/>
      <c r="I33" s="53"/>
      <c r="J33" s="11"/>
    </row>
    <row r="34" spans="2:10" x14ac:dyDescent="0.2">
      <c r="B34" s="11"/>
      <c r="C34" s="11"/>
      <c r="D34" s="11"/>
      <c r="E34" s="11"/>
      <c r="F34" s="11"/>
      <c r="G34" s="12"/>
      <c r="H34" s="11"/>
      <c r="I34" s="53"/>
      <c r="J34" s="11"/>
    </row>
    <row r="35" spans="2:10" x14ac:dyDescent="0.2">
      <c r="B35" s="11"/>
      <c r="C35" s="11"/>
      <c r="D35" s="11"/>
      <c r="E35" s="11"/>
      <c r="F35" s="11"/>
      <c r="G35" s="12"/>
      <c r="H35" s="11"/>
      <c r="I35" s="53"/>
      <c r="J35" s="11"/>
    </row>
    <row r="36" spans="2:10" x14ac:dyDescent="0.2">
      <c r="B36" s="11"/>
      <c r="C36" s="11"/>
      <c r="D36" s="11"/>
      <c r="E36" s="11"/>
      <c r="F36" s="11"/>
      <c r="G36" s="12"/>
      <c r="H36" s="11"/>
      <c r="I36" s="53"/>
      <c r="J36" s="11"/>
    </row>
    <row r="37" spans="2:10" x14ac:dyDescent="0.2">
      <c r="B37" s="11"/>
      <c r="C37" s="11"/>
      <c r="D37" s="11"/>
      <c r="E37" s="11"/>
      <c r="F37" s="11"/>
      <c r="G37" s="12"/>
      <c r="H37" s="11"/>
      <c r="I37" s="53"/>
      <c r="J37" s="11"/>
    </row>
    <row r="38" spans="2:10" x14ac:dyDescent="0.2">
      <c r="B38" s="11"/>
      <c r="C38" s="11"/>
      <c r="D38" s="11"/>
      <c r="E38" s="11"/>
      <c r="F38" s="11"/>
      <c r="G38" s="12"/>
      <c r="H38" s="11"/>
      <c r="I38" s="53"/>
      <c r="J38" s="11"/>
    </row>
    <row r="39" spans="2:10" x14ac:dyDescent="0.2">
      <c r="B39" s="11"/>
      <c r="C39" s="11"/>
      <c r="D39" s="11"/>
      <c r="E39" s="11"/>
      <c r="F39" s="11"/>
      <c r="G39" s="12"/>
      <c r="H39" s="11"/>
      <c r="I39" s="53"/>
      <c r="J39" s="11"/>
    </row>
    <row r="40" spans="2:10" x14ac:dyDescent="0.2">
      <c r="B40" s="11"/>
      <c r="C40" s="11"/>
      <c r="D40" s="11"/>
      <c r="E40" s="11"/>
      <c r="F40" s="11"/>
      <c r="G40" s="12"/>
      <c r="H40" s="11"/>
      <c r="I40" s="53"/>
      <c r="J40" s="11"/>
    </row>
    <row r="41" spans="2:10" x14ac:dyDescent="0.2">
      <c r="B41" s="11"/>
      <c r="C41" s="11"/>
      <c r="D41" s="11"/>
      <c r="E41" s="11"/>
      <c r="F41" s="11"/>
      <c r="G41" s="12"/>
      <c r="H41" s="11"/>
      <c r="I41" s="53"/>
      <c r="J41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3"/>
  <sheetViews>
    <sheetView showGridLines="0" zoomScale="210" zoomScaleNormal="210" workbookViewId="0">
      <selection activeCell="C11" sqref="C11"/>
    </sheetView>
  </sheetViews>
  <sheetFormatPr baseColWidth="10" defaultColWidth="8.83203125" defaultRowHeight="15" x14ac:dyDescent="0.2"/>
  <cols>
    <col min="2" max="2" width="25.33203125" customWidth="1"/>
    <col min="3" max="3" width="7" customWidth="1"/>
    <col min="4" max="4" width="14.83203125" customWidth="1"/>
    <col min="5" max="5" width="16.5" customWidth="1"/>
    <col min="6" max="6" width="2.5" customWidth="1"/>
    <col min="7" max="7" width="5.5" customWidth="1"/>
  </cols>
  <sheetData>
    <row r="1" spans="2:7" x14ac:dyDescent="0.2">
      <c r="B1" s="9" t="s">
        <v>131</v>
      </c>
      <c r="C1" s="9" t="s">
        <v>132</v>
      </c>
      <c r="D1" s="9" t="s">
        <v>133</v>
      </c>
    </row>
    <row r="2" spans="2:7" x14ac:dyDescent="0.2">
      <c r="B2" t="s">
        <v>134</v>
      </c>
      <c r="C2">
        <v>1</v>
      </c>
      <c r="D2" s="8">
        <f>+BASE_EXPORTACION!I11*C2</f>
        <v>391586.75871578779</v>
      </c>
      <c r="G2" t="s">
        <v>135</v>
      </c>
    </row>
    <row r="3" spans="2:7" x14ac:dyDescent="0.2">
      <c r="B3" t="s">
        <v>136</v>
      </c>
      <c r="C3">
        <v>1</v>
      </c>
      <c r="D3" s="8">
        <f>+BASE_EXPORTACION!I14*C3</f>
        <v>367387.57699739642</v>
      </c>
      <c r="G3" t="s">
        <v>137</v>
      </c>
    </row>
    <row r="4" spans="2:7" x14ac:dyDescent="0.2">
      <c r="B4" t="s">
        <v>138</v>
      </c>
      <c r="C4">
        <v>1</v>
      </c>
      <c r="D4" s="8">
        <f>+BASE_EXPORTACION!I20*C4</f>
        <v>0</v>
      </c>
    </row>
    <row r="5" spans="2:7" x14ac:dyDescent="0.2">
      <c r="B5" s="10" t="s">
        <v>61</v>
      </c>
      <c r="C5" s="11"/>
      <c r="D5" s="12"/>
      <c r="E5" s="11"/>
    </row>
    <row r="6" spans="2:7" x14ac:dyDescent="0.2">
      <c r="B6" s="13" t="s">
        <v>139</v>
      </c>
      <c r="C6" s="14" t="s">
        <v>140</v>
      </c>
      <c r="D6" s="15" t="s">
        <v>141</v>
      </c>
      <c r="E6" s="16" t="s">
        <v>142</v>
      </c>
    </row>
    <row r="7" spans="2:7" x14ac:dyDescent="0.2">
      <c r="B7" s="17" t="s">
        <v>143</v>
      </c>
      <c r="C7" s="271">
        <v>2.5000000000000001E-3</v>
      </c>
      <c r="D7" s="273">
        <f>'46k'!I21</f>
        <v>340094.19774999999</v>
      </c>
      <c r="E7" s="18">
        <f>+C7*D7</f>
        <v>850.23549437500003</v>
      </c>
    </row>
    <row r="8" spans="2:7" x14ac:dyDescent="0.2">
      <c r="B8" s="19" t="s">
        <v>144</v>
      </c>
      <c r="C8" s="272">
        <v>1.5E-3</v>
      </c>
      <c r="D8" s="18">
        <f>+D7</f>
        <v>340094.19774999999</v>
      </c>
      <c r="E8" s="20">
        <f>+C8*D8</f>
        <v>510.141296625</v>
      </c>
    </row>
    <row r="9" spans="2:7" x14ac:dyDescent="0.2">
      <c r="B9" s="19" t="s">
        <v>145</v>
      </c>
      <c r="C9" s="272">
        <v>5.0000000000000001E-3</v>
      </c>
      <c r="D9" s="18">
        <f>+D8</f>
        <v>340094.19774999999</v>
      </c>
      <c r="E9" s="20">
        <f>+C9*D9</f>
        <v>1700.4709887500001</v>
      </c>
    </row>
    <row r="10" spans="2:7" x14ac:dyDescent="0.2">
      <c r="B10" s="19" t="s">
        <v>146</v>
      </c>
      <c r="C10" s="272">
        <v>0</v>
      </c>
      <c r="D10" s="18">
        <f>+D9</f>
        <v>340094.19774999999</v>
      </c>
      <c r="E10" s="21">
        <f>+C10*D10</f>
        <v>0</v>
      </c>
    </row>
    <row r="11" spans="2:7" x14ac:dyDescent="0.2">
      <c r="B11" s="19" t="s">
        <v>147</v>
      </c>
      <c r="C11" s="272">
        <v>0.02</v>
      </c>
      <c r="D11" s="18">
        <f>+D10</f>
        <v>340094.19774999999</v>
      </c>
      <c r="E11" s="22">
        <f>+C11*D11</f>
        <v>6801.8839550000002</v>
      </c>
    </row>
    <row r="12" spans="2:7" x14ac:dyDescent="0.2">
      <c r="B12" s="23" t="s">
        <v>148</v>
      </c>
      <c r="C12" s="24">
        <f>SUM(C7:C11)</f>
        <v>2.9000000000000001E-2</v>
      </c>
      <c r="D12" s="25">
        <f>+D11</f>
        <v>340094.19774999999</v>
      </c>
      <c r="E12" s="25">
        <f>SUM(E7:E11)</f>
        <v>9862.7317347499993</v>
      </c>
    </row>
    <row r="13" spans="2:7" x14ac:dyDescent="0.2">
      <c r="B13" s="11"/>
      <c r="C13" s="11"/>
      <c r="D13" s="12"/>
      <c r="E13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11"/>
  <sheetViews>
    <sheetView showGridLines="0" workbookViewId="0">
      <selection activeCell="I8" sqref="I8"/>
    </sheetView>
  </sheetViews>
  <sheetFormatPr baseColWidth="10" defaultColWidth="8.83203125" defaultRowHeight="15" x14ac:dyDescent="0.2"/>
  <cols>
    <col min="2" max="2" width="16.6640625" customWidth="1"/>
    <col min="3" max="3" width="17.33203125" customWidth="1"/>
    <col min="5" max="5" width="12.5" customWidth="1"/>
    <col min="6" max="6" width="12.6640625" customWidth="1"/>
    <col min="7" max="7" width="7.33203125" customWidth="1"/>
    <col min="8" max="8" width="12.1640625" customWidth="1"/>
    <col min="9" max="9" width="12.6640625" customWidth="1"/>
    <col min="10" max="10" width="1.33203125" customWidth="1"/>
    <col min="11" max="11" width="17.33203125" customWidth="1"/>
    <col min="12" max="12" width="13.6640625" customWidth="1"/>
    <col min="13" max="13" width="19.6640625" customWidth="1"/>
    <col min="14" max="14" width="10.5" customWidth="1"/>
    <col min="15" max="15" width="10.1640625" customWidth="1"/>
    <col min="16" max="16" width="7.33203125" customWidth="1"/>
    <col min="17" max="17" width="9.6640625" customWidth="1"/>
    <col min="18" max="18" width="41.6640625" customWidth="1"/>
  </cols>
  <sheetData>
    <row r="2" spans="2:12" ht="19" x14ac:dyDescent="0.25">
      <c r="B2" s="1" t="s">
        <v>149</v>
      </c>
    </row>
    <row r="3" spans="2:12" x14ac:dyDescent="0.2">
      <c r="B3" t="s">
        <v>150</v>
      </c>
      <c r="C3" t="s">
        <v>151</v>
      </c>
      <c r="D3" s="2" t="s">
        <v>152</v>
      </c>
      <c r="E3" t="s">
        <v>153</v>
      </c>
      <c r="F3" t="s">
        <v>154</v>
      </c>
      <c r="G3" t="s">
        <v>8</v>
      </c>
      <c r="H3" t="s">
        <v>155</v>
      </c>
      <c r="I3" t="s">
        <v>156</v>
      </c>
    </row>
    <row r="4" spans="2:12" x14ac:dyDescent="0.2">
      <c r="B4" t="s">
        <v>157</v>
      </c>
      <c r="C4" t="s">
        <v>158</v>
      </c>
      <c r="D4" s="3">
        <v>6</v>
      </c>
      <c r="E4" s="4">
        <v>0</v>
      </c>
      <c r="F4" s="4">
        <f>+'Anexo6_Gastos Fijos'!$E$4*'Anexo6_Gastos Fijos'!$D$4</f>
        <v>0</v>
      </c>
      <c r="G4" s="5">
        <f>BASE_EXPORTACION!TC_2023</f>
        <v>7.75</v>
      </c>
      <c r="H4" s="5">
        <f>+'Anexo6_Gastos Fijos'!$E$4*'Anexo6_Gastos Fijos'!$G$4</f>
        <v>0</v>
      </c>
      <c r="I4" s="5">
        <f>+'Anexo6_Gastos Fijos'!$F$4*'Anexo6_Gastos Fijos'!$G$4</f>
        <v>0</v>
      </c>
    </row>
    <row r="5" spans="2:12" x14ac:dyDescent="0.2">
      <c r="B5" t="s">
        <v>159</v>
      </c>
      <c r="C5" t="s">
        <v>160</v>
      </c>
      <c r="D5" s="3">
        <v>6</v>
      </c>
      <c r="E5" s="4">
        <v>0</v>
      </c>
      <c r="F5" s="4">
        <f>+'Anexo6_Gastos Fijos'!$E$5*'Anexo6_Gastos Fijos'!$D$5</f>
        <v>0</v>
      </c>
      <c r="G5" s="5">
        <f>BASE_EXPORTACION!TC_2023</f>
        <v>7.75</v>
      </c>
      <c r="H5" s="5">
        <f>+'Anexo6_Gastos Fijos'!$E$5*'Anexo6_Gastos Fijos'!$G$5</f>
        <v>0</v>
      </c>
      <c r="I5" s="5">
        <f>+'Anexo6_Gastos Fijos'!$F$5*'Anexo6_Gastos Fijos'!$G$5</f>
        <v>0</v>
      </c>
    </row>
    <row r="6" spans="2:12" x14ac:dyDescent="0.2">
      <c r="B6" t="s">
        <v>161</v>
      </c>
      <c r="C6" t="s">
        <v>162</v>
      </c>
      <c r="D6" s="3">
        <v>12</v>
      </c>
      <c r="E6" s="4">
        <v>500</v>
      </c>
      <c r="F6" s="4">
        <f>+'Anexo6_Gastos Fijos'!$E$6*'Anexo6_Gastos Fijos'!$D$6</f>
        <v>6000</v>
      </c>
      <c r="G6" s="5">
        <f>BASE_EXPORTACION!TC_2023</f>
        <v>7.75</v>
      </c>
      <c r="H6" s="5">
        <f>+'Anexo6_Gastos Fijos'!$E$6*'Anexo6_Gastos Fijos'!$G$6</f>
        <v>3875</v>
      </c>
      <c r="I6" s="5">
        <f>+'Anexo6_Gastos Fijos'!$F$6*'Anexo6_Gastos Fijos'!$G$6</f>
        <v>46500</v>
      </c>
      <c r="K6" t="s">
        <v>163</v>
      </c>
    </row>
    <row r="7" spans="2:12" x14ac:dyDescent="0.2">
      <c r="B7" t="s">
        <v>164</v>
      </c>
      <c r="C7" t="s">
        <v>165</v>
      </c>
      <c r="D7" s="3">
        <v>1</v>
      </c>
      <c r="E7" s="4">
        <v>0</v>
      </c>
      <c r="F7" s="4">
        <f>+'Anexo6_Gastos Fijos'!$E$7*'Anexo6_Gastos Fijos'!$D$7</f>
        <v>0</v>
      </c>
      <c r="G7" s="5">
        <f>BASE_EXPORTACION!TC_2023</f>
        <v>7.75</v>
      </c>
      <c r="H7" s="5">
        <f>+'Anexo6_Gastos Fijos'!$E$7*'Anexo6_Gastos Fijos'!$G$7</f>
        <v>0</v>
      </c>
      <c r="I7" s="5">
        <f>+'Anexo6_Gastos Fijos'!$F$7*'Anexo6_Gastos Fijos'!$G$7</f>
        <v>0</v>
      </c>
    </row>
    <row r="8" spans="2:12" x14ac:dyDescent="0.2">
      <c r="B8" t="s">
        <v>47</v>
      </c>
      <c r="E8" s="6">
        <f>SUBTOTAL(109,E4:E7)</f>
        <v>500</v>
      </c>
      <c r="F8" s="6">
        <f>SUBTOTAL(109,F4:F7)</f>
        <v>6000</v>
      </c>
      <c r="G8" s="7"/>
      <c r="H8" s="7">
        <f>SUBTOTAL(109,H4:H7)</f>
        <v>3875</v>
      </c>
      <c r="I8" s="7">
        <f>SUBTOTAL(109,I4:I7)</f>
        <v>46500</v>
      </c>
    </row>
    <row r="11" spans="2:12" x14ac:dyDescent="0.2">
      <c r="L11" s="8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97F8DE1FFF36D4E99E4100AAF55F695" ma:contentTypeVersion="16" ma:contentTypeDescription="Crear nuevo documento." ma:contentTypeScope="" ma:versionID="632b6bdede4f614b8624f197d0c3e109">
  <xsd:schema xmlns:xsd="http://www.w3.org/2001/XMLSchema" xmlns:xs="http://www.w3.org/2001/XMLSchema" xmlns:p="http://schemas.microsoft.com/office/2006/metadata/properties" xmlns:ns2="f27ab2d2-327b-4202-b8de-2c3ee409223a" xmlns:ns3="f94da286-1807-48ed-8fa9-f567270a36f7" targetNamespace="http://schemas.microsoft.com/office/2006/metadata/properties" ma:root="true" ma:fieldsID="5dc01b4c28c8f44f197477cdec72e2de" ns2:_="" ns3:_="">
    <xsd:import namespace="f27ab2d2-327b-4202-b8de-2c3ee409223a"/>
    <xsd:import namespace="f94da286-1807-48ed-8fa9-f567270a36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7ab2d2-327b-4202-b8de-2c3ee4092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aa99063-a0ec-4495-b3a1-16f2f3b1a8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da286-1807-48ed-8fa9-f567270a36f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3d9aabb-8fbe-408c-9ef0-a7edb346cafc}" ma:internalName="TaxCatchAll" ma:showField="CatchAllData" ma:web="f94da286-1807-48ed-8fa9-f567270a36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ED5549-E257-4868-83E4-D435C050E47B}">
  <ds:schemaRefs/>
</ds:datastoreItem>
</file>

<file path=customXml/itemProps2.xml><?xml version="1.0" encoding="utf-8"?>
<ds:datastoreItem xmlns:ds="http://schemas.openxmlformats.org/officeDocument/2006/customXml" ds:itemID="{50DD7726-88F9-42F4-B6AE-FAADE0DFE8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11</vt:i4>
      </vt:variant>
    </vt:vector>
  </HeadingPairs>
  <TitlesOfParts>
    <vt:vector size="20" baseType="lpstr">
      <vt:lpstr>BASE_EXPORTACION</vt:lpstr>
      <vt:lpstr>46k</vt:lpstr>
      <vt:lpstr>Verdes</vt:lpstr>
      <vt:lpstr>Anexo1_Gtos_Compra</vt:lpstr>
      <vt:lpstr>Anexo2_maquila</vt:lpstr>
      <vt:lpstr>Anexo3_Cont_20</vt:lpstr>
      <vt:lpstr>Anexo4_Cont_40</vt:lpstr>
      <vt:lpstr>Anexo5_Gtos_variables</vt:lpstr>
      <vt:lpstr>Anexo6_Gastos Fijos</vt:lpstr>
      <vt:lpstr>'46k'!k_2023</vt:lpstr>
      <vt:lpstr>k_2023</vt:lpstr>
      <vt:lpstr>'46k'!kilos_2023</vt:lpstr>
      <vt:lpstr>BASE_EXPORTACION!kilos_2023</vt:lpstr>
      <vt:lpstr>Verdes!kilos_2023</vt:lpstr>
      <vt:lpstr>'46k'!quintales_2023</vt:lpstr>
      <vt:lpstr>BASE_EXPORTACION!quintales_2023</vt:lpstr>
      <vt:lpstr>Verdes!quintales_2023</vt:lpstr>
      <vt:lpstr>'46k'!TC_2023</vt:lpstr>
      <vt:lpstr>BASE_EXPORTACION!TC_2023</vt:lpstr>
      <vt:lpstr>Verdes!TC_2023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 Pro</dc:creator>
  <cp:lastModifiedBy>Jose Herrera</cp:lastModifiedBy>
  <dcterms:created xsi:type="dcterms:W3CDTF">2022-11-04T20:53:00Z</dcterms:created>
  <dcterms:modified xsi:type="dcterms:W3CDTF">2025-10-09T00:57:43Z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B5EB60678E7E480C93071940D327A3B7_13</vt:lpwstr>
  </property>
  <property fmtid="{D5CDD505-2E9C-101B-9397-08002B2CF9AE}" pid="3" name="KSOProductBuildVer">
    <vt:lpwstr>1033-12.2.0.18911</vt:lpwstr>
  </property>
  <property fmtid="{D5CDD505-2E9C-101B-9397-08002B2CF9AE}" pid="4" name="lcf76f155ced4ddcb4097134ff3c332f">
    <vt:lpwstr/>
  </property>
  <property fmtid="{D5CDD505-2E9C-101B-9397-08002B2CF9AE}" pid="5" name="TaxCatchAll">
    <vt:lpwstr/>
  </property>
</Properties>
</file>